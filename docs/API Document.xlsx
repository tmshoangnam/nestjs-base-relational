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CB08F1D9-56AC-4659-AADF-5418BF1E6823}" xr6:coauthVersionLast="47" xr6:coauthVersionMax="47" xr10:uidLastSave="{00000000-0000-0000-0000-000000000000}"/>
  <bookViews>
    <workbookView xWindow="0" yWindow="0" windowWidth="0" windowHeight="0" firstSheet="8" activeTab="9" xr2:uid="{00000000-000D-0000-FFFF-FFFF00000000}"/>
  </bookViews>
  <sheets>
    <sheet name="01. Overview" sheetId="1" r:id="rId1"/>
    <sheet name="02. List Screen" sheetId="2" r:id="rId2"/>
    <sheet name="【更新停止】APIエンドポイント一覧" sheetId="4" state="hidden" r:id="rId3"/>
    <sheet name="【更新停止】API一覧" sheetId="5" state="hidden" r:id="rId4"/>
    <sheet name="03.Template" sheetId="15" r:id="rId5"/>
    <sheet name="04. API List " sheetId="14" r:id="rId6"/>
    <sheet name="【更新停止】ユビキタス言語(仮)" sheetId="7" state="hidden" r:id="rId7"/>
    <sheet name="05. IF_Common" sheetId="16" r:id="rId8"/>
    <sheet name="Sheet1" sheetId="17" r:id="rId9"/>
    <sheet name="IF_Login" sheetId="1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Z_D6C437D9_C7DB_4EE7_8642_A34FD9E4D5B1_.wvu.FilterData" localSheetId="2" hidden="1">【更新停止】APIエンドポイント一覧!$B$4:$P$109</definedName>
    <definedName name="Z_D6C437D9_C7DB_4EE7_8642_A34FD9E4D5B1_.wvu.FilterData" localSheetId="3" hidden="1">【更新停止】API一覧!$B$4:$Q$110</definedName>
  </definedNames>
  <calcPr calcId="191028" calcMode="manual" calcCompleted="0"/>
  <customWorkbookViews>
    <customWorkbookView name="フィルタ辻" guid="{D6C437D9-C7DB-4EE7-8642-A34FD9E4D5B1}"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41" i="15" l="1"/>
  <c r="BK41" i="15"/>
  <c r="BK42" i="15" s="1"/>
  <c r="BL41" i="15"/>
  <c r="BM41" i="15"/>
  <c r="BN41" i="15"/>
  <c r="BP41" i="15"/>
  <c r="BQ41" i="15"/>
  <c r="BL42" i="15"/>
  <c r="BM42" i="15"/>
  <c r="BN42" i="15"/>
  <c r="BO42" i="15"/>
  <c r="BK7" i="15"/>
  <c r="BL7" i="15"/>
  <c r="BM7" i="15"/>
  <c r="BN7" i="15"/>
  <c r="BO7" i="15"/>
  <c r="BP7" i="15"/>
  <c r="BQ7" i="15"/>
  <c r="BR7" i="15"/>
  <c r="BK8" i="15"/>
  <c r="BL8" i="15"/>
  <c r="BM8" i="15"/>
  <c r="BN8" i="15"/>
  <c r="BO8" i="15"/>
  <c r="BP8" i="15"/>
  <c r="BQ8" i="15"/>
  <c r="BR8" i="15"/>
  <c r="BK9" i="15"/>
  <c r="BL9" i="15"/>
  <c r="BM9" i="15"/>
  <c r="BN9" i="15"/>
  <c r="BO9" i="15"/>
  <c r="BP9" i="15"/>
  <c r="BQ9" i="15"/>
  <c r="BR9" i="15"/>
  <c r="BO42" i="13"/>
  <c r="BN42" i="13"/>
  <c r="BM42" i="13"/>
  <c r="BL42" i="13"/>
  <c r="BQ41" i="13"/>
  <c r="BP41" i="13"/>
  <c r="BO41" i="13"/>
  <c r="BN41" i="13"/>
  <c r="BM41" i="13"/>
  <c r="BL41" i="13"/>
  <c r="BK41" i="13"/>
  <c r="BQ42" i="13"/>
  <c r="BP42" i="13"/>
  <c r="BK42" i="13"/>
  <c r="BQ8" i="13"/>
  <c r="BP8" i="13"/>
  <c r="BO8" i="13"/>
  <c r="BN8" i="13"/>
  <c r="BM8" i="13"/>
  <c r="BL8" i="13"/>
  <c r="BK8" i="13"/>
  <c r="BR8" i="13" s="1"/>
  <c r="BQ7" i="13"/>
  <c r="BQ9" i="13" s="1"/>
  <c r="BP7" i="13"/>
  <c r="BP9" i="13" s="1"/>
  <c r="BO7" i="13"/>
  <c r="BO9" i="13" s="1"/>
  <c r="BN7" i="13"/>
  <c r="BN9" i="13" s="1"/>
  <c r="BM7" i="13"/>
  <c r="BM9" i="13" s="1"/>
  <c r="BL7" i="13"/>
  <c r="BL9" i="13" s="1"/>
  <c r="BK7" i="13"/>
  <c r="J5" i="7"/>
  <c r="K5"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P98" i="5"/>
  <c r="P89" i="5"/>
  <c r="P88" i="5"/>
  <c r="P86" i="5"/>
  <c r="P85" i="5"/>
  <c r="P83" i="5"/>
  <c r="P82" i="5"/>
  <c r="P79" i="5"/>
  <c r="P78" i="5"/>
  <c r="P77" i="5"/>
  <c r="P76" i="5"/>
  <c r="P75" i="5"/>
  <c r="P70" i="5"/>
  <c r="P69" i="5"/>
  <c r="P67" i="5"/>
  <c r="P66" i="5"/>
  <c r="P65" i="5"/>
  <c r="P64" i="5"/>
  <c r="P63" i="5"/>
  <c r="P61" i="5"/>
  <c r="P60" i="5"/>
  <c r="P59" i="5"/>
  <c r="P57" i="5"/>
  <c r="P55" i="5"/>
  <c r="P54" i="5"/>
  <c r="P53" i="5"/>
  <c r="P52" i="5"/>
  <c r="P51" i="5"/>
  <c r="P49" i="5"/>
  <c r="P48" i="5"/>
  <c r="P47" i="5"/>
  <c r="P45" i="5"/>
  <c r="P43" i="5"/>
  <c r="P42" i="5"/>
  <c r="P41" i="5"/>
  <c r="P40" i="5"/>
  <c r="P39" i="5"/>
  <c r="P38" i="5"/>
  <c r="P36" i="5"/>
  <c r="P35" i="5"/>
  <c r="P34" i="5"/>
  <c r="P33" i="5"/>
  <c r="P32" i="5"/>
  <c r="P31" i="5"/>
  <c r="P30" i="5"/>
  <c r="P29" i="5"/>
  <c r="P27" i="5"/>
  <c r="P25" i="5"/>
  <c r="P24" i="5"/>
  <c r="P23" i="5"/>
  <c r="P21" i="5"/>
  <c r="P20" i="5"/>
  <c r="P18" i="5"/>
  <c r="P17" i="5"/>
  <c r="P16" i="5"/>
  <c r="P15" i="5"/>
  <c r="P14" i="5"/>
  <c r="P13" i="5"/>
  <c r="P12" i="5"/>
  <c r="P11" i="5"/>
  <c r="P10" i="5"/>
  <c r="P9" i="5"/>
  <c r="P8" i="5"/>
  <c r="P7" i="5"/>
  <c r="P6" i="5"/>
  <c r="P5" i="5"/>
  <c r="O99" i="4"/>
  <c r="O98" i="4"/>
  <c r="O97" i="4"/>
  <c r="O95" i="4"/>
  <c r="O94" i="4"/>
  <c r="O93" i="4"/>
  <c r="O89" i="4"/>
  <c r="O88" i="4"/>
  <c r="O86" i="4"/>
  <c r="O85" i="4"/>
  <c r="O83" i="4"/>
  <c r="O82" i="4"/>
  <c r="O80" i="4"/>
  <c r="O79" i="4"/>
  <c r="O77" i="4"/>
  <c r="O76" i="4"/>
  <c r="O75" i="4"/>
  <c r="O70" i="4"/>
  <c r="O69" i="4"/>
  <c r="O67" i="4"/>
  <c r="O66" i="4"/>
  <c r="O65" i="4"/>
  <c r="O64" i="4"/>
  <c r="O63" i="4"/>
  <c r="O61" i="4"/>
  <c r="O60" i="4"/>
  <c r="O59" i="4"/>
  <c r="O57" i="4"/>
  <c r="O55" i="4"/>
  <c r="O54" i="4"/>
  <c r="O53" i="4"/>
  <c r="O52" i="4"/>
  <c r="O51" i="4"/>
  <c r="O49" i="4"/>
  <c r="O48" i="4"/>
  <c r="O47" i="4"/>
  <c r="O45" i="4"/>
  <c r="O43" i="4"/>
  <c r="O42" i="4"/>
  <c r="O41" i="4"/>
  <c r="O40" i="4"/>
  <c r="O39" i="4"/>
  <c r="O38" i="4"/>
  <c r="O36" i="4"/>
  <c r="O35" i="4"/>
  <c r="O34" i="4"/>
  <c r="O33" i="4"/>
  <c r="O32" i="4"/>
  <c r="O31" i="4"/>
  <c r="O30" i="4"/>
  <c r="O29" i="4"/>
  <c r="O27" i="4"/>
  <c r="O25" i="4"/>
  <c r="O24" i="4"/>
  <c r="O23" i="4"/>
  <c r="O21" i="4"/>
  <c r="O20" i="4"/>
  <c r="O18" i="4"/>
  <c r="O17" i="4"/>
  <c r="O16" i="4"/>
  <c r="O15" i="4"/>
  <c r="O14" i="4"/>
  <c r="O13" i="4"/>
  <c r="O12" i="4"/>
  <c r="O11" i="4"/>
  <c r="O10" i="4"/>
  <c r="O9" i="4"/>
  <c r="O8" i="4"/>
  <c r="O7" i="4"/>
  <c r="O6" i="4"/>
  <c r="O5" i="4"/>
  <c r="BK9" i="13" l="1"/>
  <c r="BR9" i="13" s="1"/>
  <c r="BR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5" authorId="0" shapeId="0" xr:uid="{00000000-0006-0000-0300-000005000000}">
      <text>
        <r>
          <rPr>
            <sz val="10"/>
            <color rgb="FF000000"/>
            <rFont val="Arial"/>
            <scheme val="minor"/>
          </rPr>
          <t>このAPIはレース一覧情報を取得し会場とレースナンバーのリストをマッピングし直すのが好ましいです。
	-南吉隆
@y-minami@glad-cube.com 
raceListではなくもう少し具体的にしますか？例えば、racePlaceAndNumberListとか。
	-荒尾あんず
現状維持でOK
	-南吉隆</t>
        </r>
      </text>
    </comment>
    <comment ref="G47" authorId="0" shapeId="0" xr:uid="{00000000-0006-0000-0300-000003000000}">
      <text>
        <r>
          <rPr>
            <sz val="10"/>
            <color rgb="FF000000"/>
            <rFont val="Arial"/>
            <scheme val="minor"/>
          </rPr>
          <t>印のフォーマット違うので別テーブルにする、その場合印の管理が分かれる可能性があるので合意を取る必要アリ
	-南吉隆</t>
        </r>
      </text>
    </comment>
    <comment ref="D75" authorId="0" shapeId="0" xr:uid="{00000000-0006-0000-0300-000002000000}">
      <text>
        <r>
          <rPr>
            <sz val="10"/>
            <color rgb="FF000000"/>
            <rFont val="Arial"/>
            <scheme val="minor"/>
          </rPr>
          <t>展開予想とわかる命名が好ましい
	-南吉隆
@y-minami@glad-cube.com 
finalScenarioPredictionBySpaia
でどうでしょう
	-荒尾あんず
finalCornerPrediction/spaiaにしました
	-荒尾あんず</t>
        </r>
      </text>
    </comment>
    <comment ref="D88" authorId="0" shapeId="0" xr:uid="{00000000-0006-0000-0300-000001000000}">
      <text>
        <r>
          <rPr>
            <sz val="10"/>
            <color rgb="FF000000"/>
            <rFont val="Arial"/>
            <scheme val="minor"/>
          </rPr>
          <t>@y-minami@glad-cube.com 
【感想】
代替案はないのですが、
リソースベースな命名をする方針ですが、モーダルのコンテンツはモーダルを構成できるようにレスポンスを返すので、命名との乖離を感じてます。
	-辻一志
APIを分けてリソース単位まで分解すれば解決すると思います。
ただかなり初期の段階から無理あるなと思ってレビューゆるゆるになってます。(racesUserInfoにオッズ含まれてたり)
パフォーマンスがよっぽど悪くない限り現状維持になりそうです。
	-南吉隆
承知しました。
どちらかというと命名でどうにかしたいですね。ジャストアイデアですが、GETがコンポーネントに特化した内容になることが多いので、POSTとパスが合わないようにしたいです。
	-辻一志</t>
        </r>
      </text>
    </comment>
    <comment ref="D92" authorId="0" shapeId="0" xr:uid="{00000000-0006-0000-0300-000004000000}">
      <text>
        <r>
          <rPr>
            <sz val="10"/>
            <color rgb="FF000000"/>
            <rFont val="Arial"/>
            <scheme val="minor"/>
          </rPr>
          <t>7/11 仕様変更
人気順での絞り込みが追加されたため、着度数のデータを取得するのではなく近走成績全てを取得し、クライアント(JavaScript)側で集計して表示する。
このため近走成績のAPIを流用する。
	-森永哲平</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0" authorId="0" shapeId="0" xr:uid="{00000000-0006-0000-0400-000001000000}">
      <text>
        <r>
          <rPr>
            <sz val="10"/>
            <color rgb="FF000000"/>
            <rFont val="Arial"/>
            <scheme val="minor"/>
          </rPr>
          <t>9/18 森永
パラメータ追加
(OpenAPIの定義では追加済)
	-森永哲平</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TASC Hideo Oota</author>
    <author>tc={901C9826-DD8A-44A0-92B0-D461104D23EB}</author>
    <author/>
  </authors>
  <commentList>
    <comment ref="AY11" authorId="0" shapeId="0" xr:uid="{89816FBF-2016-456B-9F0E-CAAFE231855D}">
      <text>
        <r>
          <rPr>
            <sz val="10"/>
            <color rgb="FF000000"/>
            <rFont val="Arial"/>
            <scheme val="minor"/>
          </rPr>
          <t xml:space="preserve">theo chuẩn RFC7231, định nghĩa các lỗi có thể có khi call api trong sheet
 </t>
        </r>
      </text>
    </comment>
    <comment ref="BC11" authorId="0" shapeId="0" xr:uid="{4D43821E-4967-464A-BB67-C26B4551133E}">
      <text>
        <r>
          <rPr>
            <sz val="10"/>
            <color rgb="FF000000"/>
            <rFont val="Arial"/>
            <scheme val="minor"/>
          </rPr>
          <t/>
        </r>
      </text>
    </comment>
    <comment ref="BK11" authorId="0" shapeId="0" xr:uid="{C9E7CB60-C431-433C-89A1-C3FB4CEDA9D9}">
      <text>
        <r>
          <rPr>
            <sz val="10"/>
            <color rgb="FF000000"/>
            <rFont val="Arial"/>
            <scheme val="minor"/>
          </rPr>
          <t>History review</t>
        </r>
      </text>
    </comment>
    <comment ref="AE12" authorId="1" shapeId="0" xr:uid="{901C9826-DD8A-44A0-92B0-D461104D23EB}">
      <text>
        <t>[Threaded comment]
Your version of Excel allows you to read this threaded comment; however, any edits to it will get removed if the file is opened in a newer version of Excel. Learn more: https://go.microsoft.com/fwlink/?linkid=870924
Comment:
     Giữ nguyên mã task cũ đã sửa ( nếu có ), viết mã task mới vào dưới</t>
      </text>
    </comment>
    <comment ref="B14" authorId="2" shapeId="0" xr:uid="{24E88558-7805-44F8-8E6E-E9D84B81358A}">
      <text>
        <r>
          <rPr>
            <sz val="10"/>
            <color rgb="FF000000"/>
            <rFont val="Arial"/>
            <scheme val="minor"/>
          </rP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4A547BD-A06F-4785-AF64-886B4A376E96}">
      <text>
        <r>
          <rPr>
            <sz val="10"/>
            <color rgb="FF000000"/>
            <rFont val="Arial"/>
            <scheme val="minor"/>
          </rPr>
          <t>@y-minami@glad-cube.com method＋pathで重複している場合、二個目以降は色付けしています
	-Deleted user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0600-000008000000}">
      <text>
        <r>
          <rPr>
            <sz val="10"/>
            <color rgb="FF000000"/>
            <rFont val="Arial"/>
            <scheme val="minor"/>
          </rPr>
          <t>8/7補足
「●回京都▲日」の表記の場合
holdingTime  → ●
holdingDay → ▲
にそれぞれ相当する数値が入る
	-森永哲平</t>
        </r>
      </text>
    </comment>
    <comment ref="C40" authorId="0" shapeId="0" xr:uid="{00000000-0006-0000-0600-000009000000}">
      <text>
        <r>
          <rPr>
            <sz val="10"/>
            <color rgb="FF000000"/>
            <rFont val="Arial"/>
            <scheme val="minor"/>
          </rPr>
          <t>「index」の方がシンプルでいいと思いますがどうでしょうか？
	-森永哲平
@y-minami@glad-cube.com 
@t-morinaga@glad-cube.com 
indicator, indexのどちらでも、もう1word欲しいなと思いました。
まだ詳細が決まっていないから命名できないとは思いますが、例えば「タイム指数」なら「time indicator (value)」などです。
	-辻一志</t>
        </r>
      </text>
    </comment>
    <comment ref="C81" authorId="0" shapeId="0" xr:uid="{00000000-0006-0000-0600-000005000000}">
      <text>
        <r>
          <rPr>
            <sz val="10"/>
            <color rgb="FF000000"/>
            <rFont val="Arial"/>
            <scheme val="minor"/>
          </rPr>
          <t>8/7 森永【要再考】
下記「芝/ダート」にコメント記載
	-森永哲平</t>
        </r>
      </text>
    </comment>
    <comment ref="C96" authorId="0" shapeId="0" xr:uid="{00000000-0006-0000-0600-000007000000}">
      <text>
        <r>
          <rPr>
            <sz val="10"/>
            <color rgb="FF000000"/>
            <rFont val="Arial"/>
            <scheme val="minor"/>
          </rPr>
          <t>8/7 森永【要再考】
DBではtrack_codeカラムで芝/ダート、右回り/左回り、内回り/外回りの種別を2桁の数値で表現している。
従い、trackCodeはフロント側では使わず、
芝/ダート → trackType (仮)
右回り/左回り → courseDirection (既存)
内回り/外回り → innerOrOuter (仮)
といった変数名にする方が適切
	-森永哲平</t>
        </r>
      </text>
    </comment>
    <comment ref="C97" authorId="0" shapeId="0" xr:uid="{00000000-0006-0000-0600-000006000000}">
      <text>
        <r>
          <rPr>
            <sz val="10"/>
            <color rgb="FF000000"/>
            <rFont val="Arial"/>
            <scheme val="minor"/>
          </rPr>
          <t>8/7 森永追加
	-森永哲平
----
8/7 森永追加
	-森永哲平</t>
        </r>
      </text>
    </comment>
    <comment ref="C112" authorId="0" shapeId="0" xr:uid="{00000000-0006-0000-0600-000003000000}">
      <text>
        <r>
          <rPr>
            <sz val="10"/>
            <color rgb="FF000000"/>
            <rFont val="Arial"/>
            <scheme val="minor"/>
          </rPr>
          <t>8/7森永【要再考】
spaceよりもinterval/lotationといった言葉のほうが適切かと。
ちなみに近走成績ページでは「raceLotation」にしています。
	-森永哲平</t>
        </r>
      </text>
    </comment>
    <comment ref="C113" authorId="0" shapeId="0" xr:uid="{00000000-0006-0000-0600-000004000000}">
      <text>
        <r>
          <rPr>
            <sz val="10"/>
            <color rgb="FF000000"/>
            <rFont val="Arial"/>
            <scheme val="minor"/>
          </rPr>
          <t>8/7森永【要再考】
さすがに強引な気がします……
競走馬の母の父についてはブルードメアサイアー(Broodmare sire)という言葉があるのでそれを使いましょう。
ちなみに近走成績ページの各馬のデータでは「horseBroodmareSire」にしています。
	-森永哲平</t>
        </r>
      </text>
    </comment>
    <comment ref="F129" authorId="0" shapeId="0" xr:uid="{00000000-0006-0000-0600-000002000000}">
      <text>
        <r>
          <rPr>
            <sz val="10"/>
            <color rgb="FF000000"/>
            <rFont val="Arial"/>
            <scheme val="minor"/>
          </rPr>
          <t>8/8森永
レースそのものの上がり3Fと馬ごとの上がり3Fがあるのでそれをどう分けるかが難しいところですね……
	-森永哲平</t>
        </r>
      </text>
    </comment>
    <comment ref="C154" authorId="0" shapeId="0" xr:uid="{00000000-0006-0000-0600-000001000000}">
      <text>
        <r>
          <rPr>
            <sz val="10"/>
            <color rgb="FF000000"/>
            <rFont val="Arial"/>
            <scheme val="minor"/>
          </rPr>
          <t>8/9森永
jockeyContinueとは微妙に意味が異なるのでこちらも記載しておきます。
	-森永哲平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TASC Hideo Oota</author>
    <author>tc={C02A32CC-334C-4F95-99CE-7C34E8AC6B9D}</author>
    <author/>
  </authors>
  <commentList>
    <comment ref="AY11" authorId="0" shapeId="0" xr:uid="{65CB5BDF-F827-458D-BB25-2F6BA71E697A}">
      <text>
        <r>
          <rPr>
            <sz val="10"/>
            <color rgb="FF000000"/>
            <rFont val="Arial"/>
            <scheme val="minor"/>
          </rPr>
          <t xml:space="preserve">theo chuẩn RFC7231, định nghĩa các lỗi có thể có khi call api trong sheet
 </t>
        </r>
      </text>
    </comment>
    <comment ref="BC11" authorId="0" shapeId="0" xr:uid="{257102D6-6162-4AF3-B629-B66D9317C2CF}">
      <text>
        <r>
          <rPr>
            <sz val="10"/>
            <color rgb="FF000000"/>
            <rFont val="Arial"/>
            <scheme val="minor"/>
          </rPr>
          <t/>
        </r>
      </text>
    </comment>
    <comment ref="BK11" authorId="0" shapeId="0" xr:uid="{537B0C04-3AF3-4A81-AB7E-CF2FAF6262D8}">
      <text>
        <r>
          <rPr>
            <sz val="10"/>
            <color rgb="FF000000"/>
            <rFont val="Arial"/>
            <scheme val="minor"/>
          </rPr>
          <t>History review</t>
        </r>
      </text>
    </comment>
    <comment ref="AE12" authorId="1" shapeId="0" xr:uid="{C02A32CC-334C-4F95-99CE-7C34E8AC6B9D}">
      <text>
        <t>[Threaded comment]
Your version of Excel allows you to read this threaded comment; however, any edits to it will get removed if the file is opened in a newer version of Excel. Learn more: https://go.microsoft.com/fwlink/?linkid=870924
Comment:
     Giữ nguyên mã task cũ đã sửa ( nếu có ), viết mã task mới vào dưới</t>
      </text>
    </comment>
    <comment ref="B14" authorId="2" shapeId="0" xr:uid="{01A76BB2-564F-430F-AF3A-06F2B6DD7EBA}">
      <text>
        <r>
          <rPr>
            <sz val="10"/>
            <color rgb="FF000000"/>
            <rFont val="Arial"/>
            <scheme val="minor"/>
          </rPr>
          <t/>
        </r>
      </text>
    </comment>
  </commentList>
</comments>
</file>

<file path=xl/sharedStrings.xml><?xml version="1.0" encoding="utf-8"?>
<sst xmlns="http://schemas.openxmlformats.org/spreadsheetml/2006/main" count="2567" uniqueCount="737">
  <si>
    <t>0) 一般的な情報 ( common )</t>
  </si>
  <si>
    <t>Language: TypeScript</t>
  </si>
  <si>
    <t>Database ORM: Prisma/TypeORM</t>
  </si>
  <si>
    <t xml:space="preserve">RESTful APIs: Standard HTTP methods support
</t>
  </si>
  <si>
    <t>1) Roles ( これは、特定の役割を持つAPIドキュメントです。)</t>
  </si>
  <si>
    <t>01. バックエンドエンジニアはAPIの定義、定義されたAPIに従った実装、およびプロジェクトのAPI情報に関するフロントエンドエンジニアとの議論を担当します。( Dev BE chịu trách nhiệm define API, làm theo API đã define, thảo luận với FE các thông tin API cho dự án )</t>
  </si>
  <si>
    <t>02. フロントエンド開発者は定義されたAPIに従って実装を担当し、プロジェクトのAPI情報についてフロントエンド側と協議し、APIドキュメントを事前に定義する権利を持ちます。 ( Dev FE chịu trách nhiệm làm theo API đã define, thảo luận với FE các thông tin API cho dự án, có quyền tự define trước tài liệu API )</t>
  </si>
  <si>
    <r>
      <rPr>
        <sz val="10"/>
        <color rgb="FF000000"/>
        <rFont val="Arial"/>
        <scheme val="minor"/>
      </rPr>
      <t xml:space="preserve">03. QCは、テストケースを作成するために参照するものであり、修正する権限はありません。 (QC tham chiếu theo để tạo test case và </t>
    </r>
    <r>
      <rPr>
        <sz val="10"/>
        <color rgb="FFEA4335"/>
        <rFont val="Arial"/>
        <scheme val="minor"/>
      </rPr>
      <t>không có quyền sửa )</t>
    </r>
  </si>
  <si>
    <r>
      <rPr>
        <sz val="10"/>
        <color rgb="FF000000"/>
        <rFont val="Arial"/>
        <scheme val="minor"/>
      </rPr>
      <t xml:space="preserve">04. (PMは参照して報告し、進捗を確認することができますが、修正する権利はありません。 )PM tham chiếu theo để báo cáo KH, check tiến độ và </t>
    </r>
    <r>
      <rPr>
        <sz val="10"/>
        <color rgb="FFEA4335"/>
        <rFont val="Arial"/>
        <scheme val="minor"/>
      </rPr>
      <t>không có quyền sửa</t>
    </r>
  </si>
  <si>
    <t>2) Rules</t>
  </si>
  <si>
    <t>01. DEV（FE、BE）のみが修正権を持っています。 (Chỉ DEV (FE, BE ) mới có quyền sửa tài liệu)</t>
  </si>
  <si>
    <t>02. API名については、IF とエンドポイント名をアンダースコアで繋げる（例：IF_login）という命名規則に従うこと。( Đặt tên API theo mẫu IF + Tên endpoint , nối với nhau bằng dấu _ ( ví dụ IF_login ) )</t>
  </si>
  <si>
    <t>03. APIの修正が必要な場合、以前修正に使われたタスクのコード名はそのまま使ってください。( Đối với các mục sửa API theo yêu cầu Vui lòng giữ nguyên tên mã task đã sửa trước đó)</t>
  </si>
  <si>
    <t>04. プロセス (Quy trình )</t>
  </si>
  <si>
    <r>
      <rPr>
        <sz val="10"/>
        <color rgb="FF000000"/>
        <rFont val="Arial"/>
        <scheme val="minor"/>
      </rPr>
      <t xml:space="preserve">Case: 04-01. BEがFEへ新規APIを通知する際は、APIシートにタスクリンクを貼付し、プロジェクトグループ内でAPIの連絡を行うこと。 (BE thông báo API mới cho FE: </t>
    </r>
    <r>
      <rPr>
        <sz val="10"/>
        <color rgb="FFEA4335"/>
        <rFont val="Arial"/>
        <scheme val="minor"/>
      </rPr>
      <t>BE gắn link task vào sheet API và nhắn cho API trên nhóm dự án)</t>
    </r>
  </si>
  <si>
    <r>
      <rPr>
        <sz val="10"/>
        <color rgb="FF000000"/>
        <rFont val="Arial"/>
        <scheme val="minor"/>
      </rPr>
      <t xml:space="preserve">Case: 04-02. FEがBEへAPI修正を依頼する場合: FEは Redmine、Backlog上でタスクを作成し、そのタスクにシートのリンクを貼付し、要求内容を記述する。 → BEは要求を承認し、APIドキュメントを修正する。 → BEは修正タスクのコードを貼付する (複数の修正タスクがある場合は、そのタスク履歴を保持する)。  (FE yêu cầu BE sửa API: </t>
    </r>
    <r>
      <rPr>
        <sz val="10"/>
        <color rgb="FFEA4335"/>
        <rFont val="Arial"/>
        <scheme val="minor"/>
      </rPr>
      <t>FE Tạo task trên redmine, backlog -&gt; gắn link sheet vào task -&gt; mô tả yêu cầu -&gt; BE chấp nhận yêu cầu -&gt; chỉnh sửa tài liệu API -&gt; gắn mã task BE chỉnh sửa ( nếu có nhiều hơn 1 task chỉnh sửa giữ nguyên lịch sử các task chỉnh sửa ) )</t>
    </r>
  </si>
  <si>
    <r>
      <rPr>
        <sz val="10"/>
        <color rgb="FF000000"/>
        <rFont val="Arial"/>
        <scheme val="minor"/>
      </rPr>
      <t xml:space="preserve">Case: 04-03. BEがAPIの修正・削除をFEへ通知する際の手順: BEはタスクを作成し、APIドキュメントを修正する。→ BEは修正タスクのコードを貼付する (複数の修正タスクがある場合は、そのタスク履歴を保持する)。( BE thông báo API đã sửa, xoá, cho phía FE:  </t>
    </r>
    <r>
      <rPr>
        <sz val="10"/>
        <color rgb="FFEA4335"/>
        <rFont val="Arial"/>
        <scheme val="minor"/>
      </rPr>
      <t>BE tạo task -&gt; chỉnh sửa tài liệu API -&gt; gắn mã task BE chỉnh sửa ( nếu có nhiều hơn 1 task chỉnh sửa giữ nguyên lịch sử các task chỉnh sửa ) )</t>
    </r>
  </si>
  <si>
    <t>05. シート 01 から 05 については、位置を変更してはならない。( Các sheet từ 01 -&gt; 05 không được thay đổi vị trí )</t>
  </si>
  <si>
    <t>3) Reference (定義された参照ドキュメント)</t>
  </si>
  <si>
    <t>1) https://datatracker.ietf.org/doc/html/rfc7231#section-6.5.1</t>
  </si>
  <si>
    <t>　　　　　　　　　　　　　　　　　　　　　　　　　　　　　　　　　　　　　　　　　　　　　　　　　　　　　　　　　　　　　　　　　　　　　　　　　　　　　　　　　　　　　　　　　　　　　　　　　　　　　　　　　　　　　　　　　　　　　　　　　　　　　　　　　　　　　　　　　　　　　　　　　　　　　　　　　　　　　　　　　　　　　　　　　　　　　　　　　　　　　　　　　　　　　　　　　　　　　　　　　　　　　　　　　　　　　　　　　　　　　　　　　　　　　　　　　　　　　　　　　　　　　　　　　　　　　　　　　　　　　　　　　　　　　　　　　　　　　　　　　　　　　　　　　　　　　　　　　　　　　　　　　　　　　　　　　　　　　　　　　　　　　　　　　　　　　　　　　　　　　　　　　　　　　　　　　　　　　　　　　　　　　　　　　　　　　　　　　　　　　　　　　　　　　　　　　　　　　　　　　　　　　　　　　　　　　　　　　　　　　　　　　　　　　　　　　　　　　　　　　　　　　　　　　　　　　　　　　　　　　　　　　　　　　　　　　　　　　　　　　　　　　　　　　　　　　　　　　　　　　　　　　　　　　　　　　　　　　　　　　　　　　　　　　　　　　　　　　　　　　　　　　　　　　　　　　　　　　　　　　　　　　　　　　　　　　　　　　　　　　　　　　　　　　　　　　　　　　　　　　　　　　　　　　　　　　　　　　　　　　　　　　　　　　　　　　　　　　　　　　　　　　　　　　　　　　　　　　　　　　　　　　　　　　　　　　　　　　　　　　　　　　　　　　　　　　　　　　　　　　　　　　　　　　　　　　　　　　　　　　　　　　　　　　　　　　　　　　　　　　　　　　　　　　　　　　　　　　　　　　　　　　　　　　　　　　　　　　　　　　　　　　　　　　　　　　　　　　　　　　　　　　　　　　　　　　　　　　　　　　　　　　　　　　　　　　　　　　　　　　　　　　　　　　　　　　　　　　　　　　　　　　　　　　　　　　　　　　　　　　　　　　　　　　　　　　　　　　　　　　　　　　　　　　　　　　　　　　　　　　　　　　　　　　　　　　　　　　　　　　　　　　　　　　　　　　　　　　　　　　　　　　　　　　　　　　　　　　　　　　　　　　　　　　　　　　　　　　　　　　　　　　　　　　　　　　　　　　　　　　　　　　　　　　　　　　　　　　　　　　　　　　　　　　　　　　　　　　　　　　　　　　　　　　　　　　　　　　　　　　　　　　　　　　　　　　　　　　　　　　　　　　　　　　　　　　　　　　　　　　　　　　　　　　　　　　　　　　　　　　　　　　　　　　　　　　　　　　　　　　　　　　　　　　　　　　　　　　　　　　　　　　　　　　　　　　　　　　　　　　　　　　　　　　　　　　　　　　　　　　　　　　　　　　　　　　　　　　　　　　　　　　　　　　　　　　　　　　　　　　　　　　　　　　　　　　　　　　　　　　　　　　　　　　　　　　　　　　　　　　　　　　　　　　　　　　　　　　　　　　　　　　　　　　　　　　　　　　　　　　　　　　　　　　　　　　　　　　　　　　　　　　　　</t>
  </si>
  <si>
    <t>Group Screen</t>
  </si>
  <si>
    <t>Screen ID</t>
  </si>
  <si>
    <t>Detail Event Link</t>
  </si>
  <si>
    <t>Figma Link</t>
  </si>
  <si>
    <t>認証</t>
  </si>
  <si>
    <t>A001</t>
  </si>
  <si>
    <t>ログイン</t>
  </si>
  <si>
    <t>A002</t>
  </si>
  <si>
    <t>パスワードリセット</t>
  </si>
  <si>
    <t>A003</t>
  </si>
  <si>
    <t>メールアドレス送信</t>
  </si>
  <si>
    <t>A004</t>
  </si>
  <si>
    <t>パスワード再設定</t>
  </si>
  <si>
    <t>A005</t>
  </si>
  <si>
    <t>パスワード設定完了</t>
  </si>
  <si>
    <t>A006</t>
  </si>
  <si>
    <t>パスワードリセット期限切れ</t>
  </si>
  <si>
    <t>A007</t>
  </si>
  <si>
    <t>新規会員登録</t>
  </si>
  <si>
    <t>A008</t>
  </si>
  <si>
    <t>会員登録完了</t>
  </si>
  <si>
    <t>A009</t>
  </si>
  <si>
    <t>アンケート</t>
  </si>
  <si>
    <t>A010</t>
  </si>
  <si>
    <t>ユーザーID統合案内</t>
  </si>
  <si>
    <t>Login</t>
  </si>
  <si>
    <t>Register</t>
  </si>
  <si>
    <t>Forgot Password</t>
  </si>
  <si>
    <t>Change Password</t>
  </si>
  <si>
    <r>
      <rPr>
        <u/>
        <sz val="10"/>
        <color rgb="FF1155CC"/>
        <rFont val="Arial"/>
      </rPr>
      <t>spaia-keiba.com/api/v2/</t>
    </r>
    <r>
      <rPr>
        <sz val="10"/>
        <color rgb="FF000000"/>
        <rFont val="Arial"/>
        <scheme val="minor"/>
      </rPr>
      <t>{auth prefix}/{path}</t>
    </r>
  </si>
  <si>
    <r>
      <t xml:space="preserve">mock server の base branch = </t>
    </r>
    <r>
      <rPr>
        <u/>
        <sz val="10"/>
        <color rgb="FF1155CC"/>
        <rFont val="Arial"/>
      </rPr>
      <t>https://github.com/glad-cube/spaia-playground/tree/add_renewal_proto</t>
    </r>
  </si>
  <si>
    <r>
      <rPr>
        <b/>
        <u/>
        <sz val="10"/>
        <color rgb="FFFF0000"/>
        <rFont val="Arial"/>
      </rPr>
      <t xml:space="preserve">コンポーネント設計書２
</t>
    </r>
    <r>
      <rPr>
        <b/>
        <sz val="10"/>
        <color rgb="FF000000"/>
        <rFont val="Arial"/>
      </rPr>
      <t xml:space="preserve"> (本日の傾向・近走成績・過去10年・データ分析)</t>
    </r>
  </si>
  <si>
    <t>component</t>
  </si>
  <si>
    <t>auth prefix</t>
  </si>
  <si>
    <t>request path</t>
  </si>
  <si>
    <t>ロジックコミット</t>
  </si>
  <si>
    <t>簡易SQLコミット</t>
  </si>
  <si>
    <t>新規API</t>
  </si>
  <si>
    <t>新規テーブル</t>
  </si>
  <si>
    <t>バッチ</t>
  </si>
  <si>
    <t>request method</t>
  </si>
  <si>
    <t>MOCK SERVERコミットの有無</t>
  </si>
  <si>
    <t>API 担当者</t>
  </si>
  <si>
    <t>SHEET担当者</t>
  </si>
  <si>
    <t>備考</t>
  </si>
  <si>
    <t>pathの重複数</t>
  </si>
  <si>
    <t>重複してOKか</t>
  </si>
  <si>
    <t>レース一覧</t>
  </si>
  <si>
    <t>/public</t>
  </si>
  <si>
    <t>/races/dateNav?date=</t>
  </si>
  <si>
    <t>◯</t>
  </si>
  <si>
    <t>GET</t>
  </si>
  <si>
    <t>レビュー完了</t>
  </si>
  <si>
    <t>水岡</t>
  </si>
  <si>
    <t>共通</t>
  </si>
  <si>
    <t>/races/prevDateNav?date=</t>
  </si>
  <si>
    <t>/races/nextDateNav?date=</t>
  </si>
  <si>
    <t>/races/{date}/races</t>
  </si>
  <si>
    <t>専用</t>
  </si>
  <si>
    <t>/private</t>
  </si>
  <si>
    <t>/races/{date}/racesUserInfo</t>
  </si>
  <si>
    <t>/races/myFilterCondition</t>
  </si>
  <si>
    <t>POST</t>
  </si>
  <si>
    <t>/races/raceSort</t>
  </si>
  <si>
    <t>/races/{date}/bookmarks</t>
  </si>
  <si>
    <r>
      <rPr>
        <strike/>
        <sz val="10"/>
        <color theme="1"/>
        <rFont val="Arial"/>
      </rPr>
      <t>専用</t>
    </r>
    <r>
      <rPr>
        <sz val="10"/>
        <color theme="1"/>
        <rFont val="Arial"/>
      </rPr>
      <t xml:space="preserve">  -&gt; レース詳細と共通</t>
    </r>
  </si>
  <si>
    <t>/races/bookmark</t>
  </si>
  <si>
    <t>/races/unbookmark</t>
  </si>
  <si>
    <t>DELETE</t>
  </si>
  <si>
    <t>/races/bookmark-bulk</t>
  </si>
  <si>
    <t>/races/unbookmark-bulk</t>
  </si>
  <si>
    <t>レース一覧 &gt; ファーストビュー</t>
  </si>
  <si>
    <t>/races/gradedRaces</t>
  </si>
  <si>
    <t>森永</t>
  </si>
  <si>
    <t>重賞一覧と別/ 結果出す必要アリ</t>
  </si>
  <si>
    <r>
      <rPr>
        <sz val="10"/>
        <color rgb="FFFF0000"/>
        <rFont val="Arial"/>
      </rPr>
      <t xml:space="preserve">/race/{raceId}/raceOdds → </t>
    </r>
    <r>
      <rPr>
        <sz val="10"/>
        <color theme="1"/>
        <rFont val="Arial"/>
      </rPr>
      <t>/race/{raceId}/oddsInfo</t>
    </r>
  </si>
  <si>
    <t>特定レースのオッズ一覧を取得するためレース詳細オッズ系と一緒 → oddsInfo に集約？</t>
  </si>
  <si>
    <t>レース一覧 &gt; アラート情報</t>
  </si>
  <si>
    <t>/race/{raceId}/raceInfoInAlertInfo</t>
  </si>
  <si>
    <t>あらおさん</t>
  </si>
  <si>
    <t>荒尾</t>
  </si>
  <si>
    <t>レース詳細、のinfoと共通化検討</t>
  </si>
  <si>
    <r>
      <rPr>
        <sz val="10"/>
        <color rgb="FFFF0000"/>
        <rFont val="Arial"/>
      </rPr>
      <t>/race/{raceId}/myHorseAndJockeyInfo</t>
    </r>
    <r>
      <rPr>
        <sz val="10"/>
        <color theme="1"/>
        <rFont val="Arial"/>
      </rPr>
      <t xml:space="preserve"> → /race/{raceId}/myHorsesAndJockeys</t>
    </r>
  </si>
  <si>
    <t>レース詳細MyhorseInfo, MyJockeyInfoと共通？</t>
  </si>
  <si>
    <t>/race/{raceId}/raceChanges</t>
  </si>
  <si>
    <t>レース一覧 &gt; 重賞一覧</t>
  </si>
  <si>
    <t>/gradedRaces?year={year}</t>
  </si>
  <si>
    <t>松尾さん作業中</t>
  </si>
  <si>
    <t>Keane</t>
  </si>
  <si>
    <t>ファーストビューの重賞取得とロジックは共通？</t>
  </si>
  <si>
    <t>レース詳細</t>
  </si>
  <si>
    <t>/race/{raceId}/raceInfo</t>
  </si>
  <si>
    <t>未選択</t>
  </si>
  <si>
    <t>レース詳細系共通</t>
  </si>
  <si>
    <t>/race/raceId</t>
  </si>
  <si>
    <t>レース詳細系共通　?data=</t>
  </si>
  <si>
    <t>/races/bookMarkList?date={date}&amp;place={placeCode}</t>
  </si>
  <si>
    <r>
      <rPr>
        <strike/>
        <sz val="10"/>
        <color theme="1"/>
        <rFont val="Arial"/>
      </rPr>
      <t xml:space="preserve">専用(レース一覧とロジック一緒だがAPIは別) </t>
    </r>
    <r>
      <rPr>
        <sz val="10"/>
        <color theme="1"/>
        <rFont val="Arial"/>
      </rPr>
      <t xml:space="preserve">
→ レース一覧のbookmarkAPIと共通</t>
    </r>
  </si>
  <si>
    <t>/race/dateNav?date={date}</t>
  </si>
  <si>
    <t>/race/prevDateNav?date={date}</t>
  </si>
  <si>
    <t>/race/nextDateNav?date={date}</t>
  </si>
  <si>
    <r>
      <rPr>
        <strike/>
        <sz val="10"/>
        <color theme="1"/>
        <rFont val="Arial"/>
      </rPr>
      <t>/races/placeList?date={date}</t>
    </r>
    <r>
      <rPr>
        <sz val="10"/>
        <color theme="1"/>
        <rFont val="Arial"/>
      </rPr>
      <t xml:space="preserve"> → /races/raceList?date={date}</t>
    </r>
  </si>
  <si>
    <t>レース一覧情報として取得が好ましい
placeList &amp; raceNumberList</t>
  </si>
  <si>
    <r>
      <rPr>
        <strike/>
        <sz val="10"/>
        <color theme="1"/>
        <rFont val="Arial"/>
      </rPr>
      <t>/races/raceNumberList</t>
    </r>
    <r>
      <rPr>
        <sz val="10"/>
        <color theme="1"/>
        <rFont val="Arial"/>
      </rPr>
      <t xml:space="preserve"> → 同上</t>
    </r>
  </si>
  <si>
    <t>API PR完了</t>
  </si>
  <si>
    <t>↑同上</t>
  </si>
  <si>
    <t>レース詳細 &gt; ヘッダー</t>
  </si>
  <si>
    <t>宮本さん作業中</t>
  </si>
  <si>
    <t>辻</t>
  </si>
  <si>
    <t>/race/raceUserInfo</t>
  </si>
  <si>
    <t>/race/raceConfidence</t>
  </si>
  <si>
    <t>ほぼ専用</t>
  </si>
  <si>
    <r>
      <rPr>
        <strike/>
        <sz val="10"/>
        <color rgb="FFFF0000"/>
        <rFont val="Arial"/>
      </rPr>
      <t>/race/raceMemo</t>
    </r>
    <r>
      <rPr>
        <sz val="10"/>
        <color rgb="FF000000"/>
        <rFont val="Arial"/>
      </rPr>
      <t xml:space="preserve"> → /race/{raceId}/memo</t>
    </r>
  </si>
  <si>
    <t>ほぼ専用(レースメモで対応済み)</t>
  </si>
  <si>
    <r>
      <rPr>
        <strike/>
        <sz val="10"/>
        <color rgb="FFFF0000"/>
        <rFont val="Arial"/>
      </rPr>
      <t>/race/raceMemo</t>
    </r>
    <r>
      <rPr>
        <sz val="10"/>
        <color rgb="FF000000"/>
        <rFont val="Arial"/>
      </rPr>
      <t xml:space="preserve"> → /race/memo</t>
    </r>
  </si>
  <si>
    <t>レース詳細 &gt; 出馬表</t>
  </si>
  <si>
    <t>/race/{raceId}/horseInfo</t>
  </si>
  <si>
    <t>キンさん</t>
  </si>
  <si>
    <t>修正依頼</t>
  </si>
  <si>
    <t>※ races → raceへ</t>
  </si>
  <si>
    <t>/race/{raceId}/oddsInfo</t>
  </si>
  <si>
    <t>/race/{raceId}/userMarkInfo</t>
  </si>
  <si>
    <t>松尾さん</t>
  </si>
  <si>
    <t>△</t>
  </si>
  <si>
    <t>この4APIを一緒にまとめるか否か</t>
  </si>
  <si>
    <t>※ oddsInfo漏れ</t>
  </si>
  <si>
    <t>/race/{raceId}/myHorseInfo  (/race/{raceId}/myHorseAndJockeyInfoに統合)</t>
  </si>
  <si>
    <t>/race/{raceId}/myJockeyInfo (/race/{raceId}/myHorseAndJockeyInfoに統合)</t>
  </si>
  <si>
    <t>/race/{raceId}/myHorseAndJockeyInfo</t>
  </si>
  <si>
    <t>API作業中</t>
  </si>
  <si>
    <r>
      <rPr>
        <strike/>
        <sz val="10"/>
        <color rgb="FFFF0000"/>
        <rFont val="Arial"/>
      </rPr>
      <t>/race/{raceId}/horseMemoInfo</t>
    </r>
    <r>
      <rPr>
        <sz val="10"/>
        <color rgb="FF000000"/>
        <rFont val="Arial"/>
      </rPr>
      <t xml:space="preserve"> →  → /races/{date}/{place}/horse/{horseId}/memo</t>
    </r>
  </si>
  <si>
    <t>各ページ共通</t>
  </si>
  <si>
    <t>/race/{raceId}/myHorseInfo (/race/{raceId}/myHorseAndJockeyInfoに統合)</t>
  </si>
  <si>
    <r>
      <rPr>
        <strike/>
        <sz val="10"/>
        <color rgb="FFFF0000"/>
        <rFont val="Arial"/>
      </rPr>
      <t>/race/horseMemoInfo</t>
    </r>
    <r>
      <rPr>
        <sz val="10"/>
        <color theme="1"/>
        <rFont val="Arial"/>
      </rPr>
      <t xml:space="preserve"> → /race/{raceId}/horse/{horseId}/memo</t>
    </r>
  </si>
  <si>
    <t>各ページ共通 黄色同じ</t>
  </si>
  <si>
    <t>レース詳細 &gt; 出馬表 &gt; カスタム出馬表</t>
  </si>
  <si>
    <t>出馬表と共通</t>
  </si>
  <si>
    <r>
      <rPr>
        <strike/>
        <sz val="10"/>
        <color rgb="FFFF0000"/>
        <rFont val="Arial"/>
      </rPr>
      <t xml:space="preserve">/race/{raceId}/raceHorseMemoInfo?horseId={horseId} </t>
    </r>
    <r>
      <rPr>
        <sz val="10"/>
        <color rgb="FF000000"/>
        <rFont val="Arial"/>
      </rPr>
      <t>→ /race/{raceId}/horse/{horseId}/memo</t>
    </r>
  </si>
  <si>
    <t>/race/displayItemsInfo</t>
  </si>
  <si>
    <t>レース詳細 &gt; 出馬表 &gt; カスタム出馬表 &gt; 表示設定</t>
  </si>
  <si>
    <t>/race/customRaceCard/userDisplayItemInfo</t>
  </si>
  <si>
    <t>修正 PR完了</t>
  </si>
  <si>
    <t>/race/customRaceCard/abilityFocusedIDisplaytemInfo</t>
  </si>
  <si>
    <t>/race/customRaceCard/raceDevelopmentFocusedDisplayItemInfo</t>
  </si>
  <si>
    <t>/race/customRaceCard/pedigreeFocusedDisplayItemInfo</t>
  </si>
  <si>
    <t>レース詳細 &gt; 出馬表 &gt; みんなの予想</t>
  </si>
  <si>
    <r>
      <rPr>
        <sz val="10"/>
        <color rgb="FFFF0000"/>
        <rFont val="Arial"/>
      </rPr>
      <t xml:space="preserve">/race/{raceId}/finalScenarioPredictionBySpaia </t>
    </r>
    <r>
      <rPr>
        <sz val="10"/>
        <color rgb="FF000000"/>
        <rFont val="Arial"/>
      </rPr>
      <t>→ /race/{raceId}/finalCornerPrediction/spaia</t>
    </r>
  </si>
  <si>
    <t>新データにつきコンポーネント自体の挙動と合わせて設計レビューが必要</t>
  </si>
  <si>
    <r>
      <rPr>
        <sz val="10"/>
        <color rgb="FFFF0000"/>
        <rFont val="Arial"/>
      </rPr>
      <t xml:space="preserve">/race/{raceId}/finalScenarioPrediction </t>
    </r>
    <r>
      <rPr>
        <sz val="10"/>
        <color rgb="FF000000"/>
        <rFont val="Arial"/>
      </rPr>
      <t>→ /race/{raceId}/finalCornerPrediction/user</t>
    </r>
  </si>
  <si>
    <t>新データにつきコンポーネント自体の挙動と合わせて設計レビューが必要
修正依頼：パス変更(myPrediction→finalScenarioPrediction)による</t>
  </si>
  <si>
    <r>
      <rPr>
        <sz val="10"/>
        <color rgb="FFFF0000"/>
        <rFont val="Arial"/>
      </rPr>
      <t xml:space="preserve">/race/{raceId}/usersPrediction </t>
    </r>
    <r>
      <rPr>
        <sz val="10"/>
        <color rgb="FF000000"/>
        <rFont val="Arial"/>
      </rPr>
      <t>→ /race/{raceId}/racePrediction/users</t>
    </r>
  </si>
  <si>
    <r>
      <rPr>
        <sz val="10"/>
        <color rgb="FFFF0000"/>
        <rFont val="Arial"/>
      </rPr>
      <t>/race/{raceId}/racePrediction</t>
    </r>
    <r>
      <rPr>
        <sz val="10"/>
        <color theme="1"/>
        <rFont val="Arial"/>
      </rPr>
      <t xml:space="preserve"> → /race/{raceId}/racePrediction/user</t>
    </r>
  </si>
  <si>
    <t>レース詳細 &gt; 出馬表 &gt; オッズ×指数分布図</t>
  </si>
  <si>
    <t>/race/{raceId}/indexInfo</t>
  </si>
  <si>
    <t>レース詳細・レースメモ</t>
  </si>
  <si>
    <r>
      <rPr>
        <strike/>
        <sz val="10"/>
        <color rgb="FFFF0000"/>
        <rFont val="Arial"/>
      </rPr>
      <t>/race/{raceId}/raceMemoInfo</t>
    </r>
    <r>
      <rPr>
        <sz val="10"/>
        <color theme="1"/>
        <rFont val="Arial"/>
      </rPr>
      <t xml:space="preserve"> → /race/{raceId}/memo</t>
    </r>
  </si>
  <si>
    <t>キン</t>
  </si>
  <si>
    <r>
      <rPr>
        <strike/>
        <sz val="10"/>
        <color rgb="FFFF0000"/>
        <rFont val="Arial"/>
      </rPr>
      <t>/race/raceMemoInfo</t>
    </r>
    <r>
      <rPr>
        <sz val="10"/>
        <color theme="1"/>
        <rFont val="Arial"/>
      </rPr>
      <t xml:space="preserve"> → /race/{raceId}/memo</t>
    </r>
  </si>
  <si>
    <t>レース詳細・馬メモ</t>
  </si>
  <si>
    <r>
      <rPr>
        <strike/>
        <sz val="10"/>
        <color rgb="FFFF0000"/>
        <rFont val="Arial"/>
      </rPr>
      <t>/race/{raceId}/raceHorseMemoInfo?horseId={horseId}</t>
    </r>
    <r>
      <rPr>
        <sz val="10"/>
        <color rgb="FF000000"/>
        <rFont val="Arial"/>
      </rPr>
      <t xml:space="preserve"> → /race/{raceId}/horse/{horseId}/memo</t>
    </r>
  </si>
  <si>
    <t>6/24 ここまで作業OK</t>
  </si>
  <si>
    <t>レース詳細 &gt; 出馬表 &gt; [MY馬登録モーダル]</t>
  </si>
  <si>
    <r>
      <rPr>
        <strike/>
        <sz val="10"/>
        <color rgb="FFFF0000"/>
        <rFont val="Arial"/>
      </rPr>
      <t>/race/registerMyHorse?horseId={horseId}</t>
    </r>
    <r>
      <rPr>
        <sz val="10"/>
        <color theme="1"/>
        <rFont val="Arial"/>
      </rPr>
      <t xml:space="preserve"> → /race/myhorse/{horseId}/modal</t>
    </r>
  </si>
  <si>
    <r>
      <rPr>
        <strike/>
        <sz val="10"/>
        <color rgb="FFFF0000"/>
        <rFont val="Arial"/>
      </rPr>
      <t>/race/registerMyHorse?horseId={horseId}</t>
    </r>
    <r>
      <rPr>
        <sz val="10"/>
        <color rgb="FF000000"/>
        <rFont val="Arial"/>
      </rPr>
      <t xml:space="preserve"> → /race/myhorse/{horseId}/modal</t>
    </r>
  </si>
  <si>
    <t>/race/myhorse/{horseId}/modal/deregister</t>
  </si>
  <si>
    <t>レース詳細 &gt; 出馬表 &gt; [MY騎手登録モーダル]</t>
  </si>
  <si>
    <r>
      <rPr>
        <strike/>
        <sz val="10"/>
        <color rgb="FFFF0000"/>
        <rFont val="Arial"/>
      </rPr>
      <t>/race/registerMyJockey?jockeyCode={jockeyCode}</t>
    </r>
    <r>
      <rPr>
        <sz val="10"/>
        <color theme="1"/>
        <rFont val="Arial"/>
      </rPr>
      <t xml:space="preserve"> → /race/myjockey/{jockeyId}/modal</t>
    </r>
  </si>
  <si>
    <t>/race/myjockey/{jockeyId}/modal/deregister</t>
  </si>
  <si>
    <t>レース詳細 &gt; 出馬表 &gt; [レース予想入力用モーダル]</t>
  </si>
  <si>
    <t>レース詳細 &gt; 出馬表 &gt; [最終コーナー展開予想登録モーダル]</t>
  </si>
  <si>
    <t>レース一覧&gt;条件絞り込みモーダル</t>
  </si>
  <si>
    <t>レース詳細 &gt; 印メモ</t>
  </si>
  <si>
    <t>あらおさん(pr)</t>
  </si>
  <si>
    <t>完了</t>
  </si>
  <si>
    <t>要検討、注目レースの定義</t>
  </si>
  <si>
    <t>/race/{raceId}/raceOdds</t>
  </si>
  <si>
    <t>とわさん作業中</t>
  </si>
  <si>
    <t>/race/{raceId}/raceChangeInfo</t>
  </si>
  <si>
    <t>廃止予定(path paramに付与)</t>
  </si>
  <si>
    <t>/race/raceConfidence → /race/{raceId}/raceConfidence</t>
  </si>
  <si>
    <t>荒尾さん</t>
  </si>
  <si>
    <r>
      <rPr>
        <strike/>
        <sz val="10"/>
        <color rgb="FFFF0000"/>
        <rFont val="Arial"/>
      </rPr>
      <t>/race/{raceId}/horseMemoInfo</t>
    </r>
    <r>
      <rPr>
        <sz val="10"/>
        <color rgb="FF000000"/>
        <rFont val="Arial"/>
      </rPr>
      <t xml:space="preserve"> → /races/horse/{horseId}/memo(設計書内で定義必要)</t>
    </r>
  </si>
  <si>
    <t>ばっさん/あらおさん</t>
  </si>
  <si>
    <r>
      <rPr>
        <strike/>
        <sz val="10"/>
        <color rgb="FFFF0000"/>
        <rFont val="Arial"/>
      </rPr>
      <t>/race/raceMemoInfo</t>
    </r>
    <r>
      <rPr>
        <sz val="10"/>
        <color theme="1"/>
        <rFont val="Arial"/>
      </rPr>
      <t xml:space="preserve"> → /race/memo</t>
    </r>
  </si>
  <si>
    <t>マーク</t>
  </si>
  <si>
    <t>意味</t>
  </si>
  <si>
    <t>詳細な説明</t>
  </si>
  <si>
    <t>○</t>
  </si>
  <si>
    <t>Require</t>
  </si>
  <si>
    <t>必要</t>
  </si>
  <si>
    <t>Optional</t>
  </si>
  <si>
    <t>条件によって変わる</t>
  </si>
  <si>
    <t>Tài liệu define error code dựa theo chuẩn: rfc7231</t>
  </si>
  <si>
    <t>x</t>
  </si>
  <si>
    <t>Cancel</t>
  </si>
  <si>
    <t>いいえ,
未定,
無価値,
どうでもいい</t>
  </si>
  <si>
    <t>OK</t>
  </si>
  <si>
    <t>NG</t>
  </si>
  <si>
    <t>NOT YET</t>
  </si>
  <si>
    <t>メソッド ( METHOD )</t>
  </si>
  <si>
    <t>API名</t>
  </si>
  <si>
    <t>機能ID</t>
  </si>
  <si>
    <t>機能概要:</t>
  </si>
  <si>
    <t>作成日</t>
  </si>
  <si>
    <t>更新日</t>
  </si>
  <si>
    <t>FE Review Change</t>
  </si>
  <si>
    <t>Review</t>
  </si>
  <si>
    <t>/name</t>
  </si>
  <si>
    <t>A1-01-01</t>
  </si>
  <si>
    <t>-</t>
  </si>
  <si>
    <t>作成者</t>
  </si>
  <si>
    <t>Hieu Nguyen</t>
  </si>
  <si>
    <t>更新者</t>
  </si>
  <si>
    <r>
      <rPr>
        <strike/>
        <u/>
        <sz val="10"/>
        <color rgb="FF1155CC"/>
        <rFont val="Arial"/>
        <scheme val="minor"/>
      </rPr>
      <t>redmine-1</t>
    </r>
    <r>
      <rPr>
        <u/>
        <sz val="10"/>
        <color rgb="FF1155CC"/>
        <rFont val="Arial"/>
        <scheme val="minor"/>
      </rPr>
      <t>, redmine-2</t>
    </r>
  </si>
  <si>
    <t>Open</t>
  </si>
  <si>
    <t>Fields</t>
  </si>
  <si>
    <t>API</t>
  </si>
  <si>
    <t>インターフェース項目一覧 (Interface Item List)</t>
  </si>
  <si>
    <t>Error
Code</t>
  </si>
  <si>
    <t>Error Actions</t>
  </si>
  <si>
    <t>Error Message</t>
  </si>
  <si>
    <t>Fallback Value</t>
  </si>
  <si>
    <t>HTTP</t>
  </si>
  <si>
    <t>Category</t>
  </si>
  <si>
    <t>Action</t>
  </si>
  <si>
    <t>Message</t>
  </si>
  <si>
    <t>Description</t>
  </si>
  <si>
    <t>No.</t>
  </si>
  <si>
    <t>項目名称 (Item)</t>
  </si>
  <si>
    <t>Data Type</t>
  </si>
  <si>
    <t>Allow null</t>
  </si>
  <si>
    <t>Min Lenght</t>
  </si>
  <si>
    <t>Max Lenght</t>
  </si>
  <si>
    <t>Pattern/regex</t>
  </si>
  <si>
    <t>Enum Values</t>
  </si>
  <si>
    <t>Min Value</t>
  </si>
  <si>
    <t>Max Value</t>
  </si>
  <si>
    <t>Sample</t>
  </si>
  <si>
    <t>Notes</t>
  </si>
  <si>
    <t>Sample Success</t>
  </si>
  <si>
    <t>Sample Error</t>
  </si>
  <si>
    <t>リクエスト (Header)</t>
  </si>
  <si>
    <t>x-custom-lang</t>
  </si>
  <si>
    <t>string</t>
  </si>
  <si>
    <t>レスポンス (Request)</t>
  </si>
  <si>
    <t>取得結果 (Response)</t>
  </si>
  <si>
    <t>IF_API</t>
  </si>
  <si>
    <t>Component and Screen</t>
  </si>
  <si>
    <t>Request method</t>
  </si>
  <si>
    <t>Descriptions</t>
  </si>
  <si>
    <t>Status</t>
  </si>
  <si>
    <t>ROLE</t>
  </si>
  <si>
    <t>Schema File</t>
  </si>
  <si>
    <t>Assign</t>
  </si>
  <si>
    <t>Due date</t>
  </si>
  <si>
    <t>FE Feedback</t>
  </si>
  <si>
    <t>Status FE Feedback</t>
  </si>
  <si>
    <t>IF_Login</t>
  </si>
  <si>
    <t>Login ( A001)</t>
  </si>
  <si>
    <t>/api/v1/auth/login</t>
  </si>
  <si>
    <t>Done</t>
  </si>
  <si>
    <t>User</t>
  </si>
  <si>
    <t>None</t>
  </si>
  <si>
    <t>FE Dev</t>
  </si>
  <si>
    <t>Issue:
+ backlog-01
+ backlog-02</t>
  </si>
  <si>
    <t>In Progress</t>
  </si>
  <si>
    <t>IF_Logout</t>
  </si>
  <si>
    <t>Header ( H001 )</t>
  </si>
  <si>
    <t>/api/v1/auth/logout</t>
  </si>
  <si>
    <t>BE Dev</t>
  </si>
  <si>
    <t>IF_refesh-token</t>
  </si>
  <si>
    <t>App Global</t>
  </si>
  <si>
    <t>/api/v1/auth/refresh</t>
  </si>
  <si>
    <t>IF_forgot-password</t>
  </si>
  <si>
    <t>Forgot Password (A003)</t>
  </si>
  <si>
    <t>/api/v1/auth/forgot/password</t>
  </si>
  <si>
    <t>IF_change-password</t>
  </si>
  <si>
    <t>Change Password (A003)</t>
  </si>
  <si>
    <t>PUT</t>
  </si>
  <si>
    <t>/api/v1/auth/reset/password</t>
  </si>
  <si>
    <t>IF_user-info</t>
  </si>
  <si>
    <t>Get User Info</t>
  </si>
  <si>
    <t>/api/v1/auth/me</t>
  </si>
  <si>
    <t>IF_update-user-info</t>
  </si>
  <si>
    <t>Update User Info</t>
  </si>
  <si>
    <t>メインシートに戻る</t>
  </si>
  <si>
    <r>
      <rPr>
        <sz val="10"/>
        <color rgb="FF000000"/>
        <rFont val="Arial"/>
      </rPr>
      <t>1. 検討が必要な単語が出てきたら</t>
    </r>
    <r>
      <rPr>
        <sz val="10"/>
        <color rgb="FFFF0000"/>
        <rFont val="Arial"/>
      </rPr>
      <t>赤字で</t>
    </r>
    <r>
      <rPr>
        <sz val="10"/>
        <color rgb="FF000000"/>
        <rFont val="Arial"/>
      </rPr>
      <t>変数名の提案込で追記</t>
    </r>
    <r>
      <rPr>
        <sz val="10"/>
        <color rgb="FFFF0000"/>
        <rFont val="Arial"/>
      </rPr>
      <t xml:space="preserve">
</t>
    </r>
    <r>
      <rPr>
        <sz val="10"/>
        <color rgb="FF000000"/>
        <rFont val="Arial"/>
      </rPr>
      <t>2. 1. を報告</t>
    </r>
  </si>
  <si>
    <t>ユーザー</t>
  </si>
  <si>
    <t>user</t>
  </si>
  <si>
    <t>非会員</t>
  </si>
  <si>
    <t>guest user</t>
  </si>
  <si>
    <t>SPAIAに会員登録していないユーザー</t>
  </si>
  <si>
    <t>無料会員</t>
  </si>
  <si>
    <t>free user</t>
  </si>
  <si>
    <t>SPAIAに会員登録しており、有料会員ではないユーザー</t>
  </si>
  <si>
    <r>
      <rPr>
        <strike/>
        <sz val="10"/>
        <color rgb="FFFF0000"/>
        <rFont val="Arial"/>
      </rPr>
      <t>currentDate</t>
    </r>
    <r>
      <rPr>
        <sz val="10"/>
        <color rgb="FF000000"/>
        <rFont val="Arial"/>
      </rPr>
      <t xml:space="preserve"> → selectedHoldingDate</t>
    </r>
  </si>
  <si>
    <t>有料会員</t>
  </si>
  <si>
    <t>paid user</t>
  </si>
  <si>
    <t>ゴールド会員, プラチナ会員, ダイヤモンド会員の総称</t>
  </si>
  <si>
    <t>holdingTime</t>
  </si>
  <si>
    <t>ゴールド会員</t>
  </si>
  <si>
    <t>gold user</t>
  </si>
  <si>
    <t>ゴールドコースをサブスクリプション登録しているユーザー</t>
  </si>
  <si>
    <t>place</t>
  </si>
  <si>
    <t>プラチナ会員</t>
  </si>
  <si>
    <t>platinum user</t>
  </si>
  <si>
    <t>プラチナコースをサブスクリプション登録しているユーザー</t>
  </si>
  <si>
    <t>holdingDay</t>
  </si>
  <si>
    <t>ダイヤモンド会員</t>
  </si>
  <si>
    <t>diamond user</t>
  </si>
  <si>
    <t>ダイヤモンドコースをサブスクリプション登録しているユーザー</t>
  </si>
  <si>
    <t>weather</t>
  </si>
  <si>
    <t>turfCondition</t>
  </si>
  <si>
    <t>dirtCondition</t>
  </si>
  <si>
    <t>raceNumber</t>
  </si>
  <si>
    <t>raceTitle</t>
  </si>
  <si>
    <r>
      <rPr>
        <strike/>
        <sz val="10"/>
        <color rgb="FFFF0000"/>
        <rFont val="Arial"/>
      </rPr>
      <t>grade</t>
    </r>
    <r>
      <rPr>
        <sz val="10"/>
        <color rgb="FF000000"/>
        <rFont val="Arial"/>
      </rPr>
      <t xml:space="preserve"> → gradeCode</t>
    </r>
  </si>
  <si>
    <t>grade → gradeCode</t>
  </si>
  <si>
    <t>roughnessPrediction</t>
  </si>
  <si>
    <t>distance</t>
  </si>
  <si>
    <t>numOfEntries</t>
  </si>
  <si>
    <t>レース</t>
  </si>
  <si>
    <t>race</t>
  </si>
  <si>
    <t>競馬のレース</t>
  </si>
  <si>
    <t>burdenWeightType</t>
  </si>
  <si>
    <t>レースID</t>
  </si>
  <si>
    <t>raceId</t>
  </si>
  <si>
    <t>レースに一意のID</t>
  </si>
  <si>
    <t>startTime</t>
  </si>
  <si>
    <t>開催日</t>
  </si>
  <si>
    <t>holdingDate</t>
  </si>
  <si>
    <t>レースの開催日
YYYYMMDD形式</t>
  </si>
  <si>
    <t>horseName</t>
  </si>
  <si>
    <t>開催競馬場</t>
  </si>
  <si>
    <t>レースの開催する競馬場</t>
  </si>
  <si>
    <t>jockeyName</t>
  </si>
  <si>
    <t>開催回次</t>
  </si>
  <si>
    <t>開催の回数
1開催は原則6日間</t>
  </si>
  <si>
    <t>tanshouRefund</t>
  </si>
  <si>
    <t>開催日次</t>
  </si>
  <si>
    <t>f</t>
  </si>
  <si>
    <t>開催中の日数</t>
  </si>
  <si>
    <t>tanshouOdds</t>
  </si>
  <si>
    <t>競馬場コード</t>
  </si>
  <si>
    <t>placeCode</t>
  </si>
  <si>
    <t>競馬場ごとに一意のコード</t>
  </si>
  <si>
    <t>popularity</t>
  </si>
  <si>
    <t>レース番号</t>
  </si>
  <si>
    <t>レースの開催番号</t>
  </si>
  <si>
    <t>グレード</t>
  </si>
  <si>
    <t>grade</t>
  </si>
  <si>
    <t>JRAのレースのグレード
"GⅠ", "GⅡ", "GⅢ", "重賞"</t>
  </si>
  <si>
    <t>クラス</t>
  </si>
  <si>
    <t>class</t>
  </si>
  <si>
    <t>G1, G2, G3, リステッド, 3勝など重賞未満含む階位分け</t>
  </si>
  <si>
    <t>gradeCode</t>
  </si>
  <si>
    <t>競走馬</t>
  </si>
  <si>
    <t>horse</t>
  </si>
  <si>
    <t>JRAに登録されたレースに出場する馬</t>
  </si>
  <si>
    <t>騎手</t>
  </si>
  <si>
    <t>jockey</t>
  </si>
  <si>
    <t>馬上から馬を操縦する人のこと</t>
  </si>
  <si>
    <t>調教師</t>
  </si>
  <si>
    <t>trainer</t>
  </si>
  <si>
    <t>競馬において厩舎を運営し競走馬を管理することを業とする者のこと</t>
  </si>
  <si>
    <t>placeName → place</t>
  </si>
  <si>
    <t>厩舎</t>
  </si>
  <si>
    <t>stable</t>
  </si>
  <si>
    <t>調教師が管理する施設・組織の総称</t>
  </si>
  <si>
    <t>trackCode</t>
  </si>
  <si>
    <t>生産者</t>
  </si>
  <si>
    <t>breeder</t>
  </si>
  <si>
    <t>馬主</t>
  </si>
  <si>
    <t>owner</t>
  </si>
  <si>
    <t>馬の所有者</t>
  </si>
  <si>
    <t>種牡馬</t>
  </si>
  <si>
    <t>stallion</t>
  </si>
  <si>
    <t>繁殖用の牡馬のこと</t>
  </si>
  <si>
    <t>horseNumber</t>
  </si>
  <si>
    <t>繁殖牝馬</t>
  </si>
  <si>
    <t>broodmare</t>
  </si>
  <si>
    <t>子馬を産むために牧場に繋養されている牝馬のこと</t>
  </si>
  <si>
    <t>horseId</t>
  </si>
  <si>
    <t>重賞レース</t>
  </si>
  <si>
    <t>gradedRace</t>
  </si>
  <si>
    <t>重賞レース、G1,G2,G3のレース、国際格付けにて定義される</t>
  </si>
  <si>
    <t>jockeyId</t>
  </si>
  <si>
    <t>特別レース</t>
  </si>
  <si>
    <t>specialRace</t>
  </si>
  <si>
    <t>(オープン特別含む)リステッド以上のクラスのレース</t>
  </si>
  <si>
    <t>trainerId</t>
  </si>
  <si>
    <t>荒れ</t>
  </si>
  <si>
    <t>roughness</t>
  </si>
  <si>
    <t>人気の馬が活躍しないことで払い戻し倍率が一定以上より上がること
※ 英文的にはupset(番狂わせ)の方が正しいがテーブル名からしてroughtnessなので変えづらい</t>
  </si>
  <si>
    <t>trainerName</t>
  </si>
  <si>
    <t>本命</t>
  </si>
  <si>
    <t>favorite</t>
  </si>
  <si>
    <t>activeNext</t>
  </si>
  <si>
    <t>指数</t>
  </si>
  <si>
    <t>indicator value</t>
  </si>
  <si>
    <t>selectedPlaceCode</t>
  </si>
  <si>
    <t>単勝オッズ</t>
  </si>
  <si>
    <t>単勝のオッズ、ローマ字表記に注意</t>
  </si>
  <si>
    <t>selectedRaceNumber</t>
  </si>
  <si>
    <t>複勝オッズ</t>
  </si>
  <si>
    <t>fukushouOdds</t>
  </si>
  <si>
    <t>複勝オッズ、1.1-2.3 のような幅を持つため数値型ではない点注意</t>
  </si>
  <si>
    <t>raceType</t>
  </si>
  <si>
    <t>7/15追記</t>
  </si>
  <si>
    <t>レース名</t>
  </si>
  <si>
    <t>courseDirection</t>
  </si>
  <si>
    <t>発走時刻</t>
  </si>
  <si>
    <t>weatherCode → weather</t>
  </si>
  <si>
    <t>距離</t>
  </si>
  <si>
    <t>コースの距離</t>
  </si>
  <si>
    <t>raceMemo</t>
  </si>
  <si>
    <t>出走頭数</t>
  </si>
  <si>
    <t>borderNumber</t>
  </si>
  <si>
    <t>展開</t>
  </si>
  <si>
    <t>progress</t>
  </si>
  <si>
    <t>レースの展開、途中の経過という意味</t>
  </si>
  <si>
    <t>horseWeight</t>
  </si>
  <si>
    <t>近走成績</t>
  </si>
  <si>
    <t>recentRaces</t>
  </si>
  <si>
    <t>直近のレース成績、成績といってもレースに付随する情報を多々加える必要があるため変数名はracesで止めている</t>
  </si>
  <si>
    <t>burdenWeight</t>
  </si>
  <si>
    <r>
      <rPr>
        <sz val="10"/>
        <color rgb="FF000000"/>
        <rFont val="Arial"/>
      </rPr>
      <t xml:space="preserve">placeName → </t>
    </r>
    <r>
      <rPr>
        <sz val="10"/>
        <color rgb="FF000000"/>
        <rFont val="Arial"/>
      </rPr>
      <t>place</t>
    </r>
  </si>
  <si>
    <t>userPrediction → predictionMark</t>
  </si>
  <si>
    <t>isMyHorse</t>
  </si>
  <si>
    <t>機能名</t>
  </si>
  <si>
    <t>レースのしおり</t>
  </si>
  <si>
    <t>race bookmark</t>
  </si>
  <si>
    <t>注目しているレースの目印</t>
  </si>
  <si>
    <t>isMyJockey</t>
  </si>
  <si>
    <t>レースのメモ</t>
  </si>
  <si>
    <t>race memo</t>
  </si>
  <si>
    <t>レースに対して記入するメモ</t>
  </si>
  <si>
    <t>horseMemo → raceHorseMemo</t>
  </si>
  <si>
    <t>予想印</t>
  </si>
  <si>
    <t>prediction mark</t>
  </si>
  <si>
    <t>レースごとに馬単位で評価を記号で表したもの</t>
  </si>
  <si>
    <t>predictionUser → predictionMark</t>
  </si>
  <si>
    <t>出走馬のメモ</t>
  </si>
  <si>
    <t>race horse memo</t>
  </si>
  <si>
    <t>出走馬に対して記入するメモ
過去の出走時のメモを参照することができる</t>
  </si>
  <si>
    <t>holdingDate (yyyy/mm/dd )</t>
  </si>
  <si>
    <t>My馬</t>
  </si>
  <si>
    <t>myHorse</t>
  </si>
  <si>
    <t>読み方は「マイうま」？</t>
  </si>
  <si>
    <t>holdingDate (yyyy/mm/dd (ddd))</t>
  </si>
  <si>
    <t>My馬メモ</t>
  </si>
  <si>
    <t>myHorseMemo</t>
  </si>
  <si>
    <t>マイ馬'(お気に入り馬)を登録する際に馬にメモを残せる機能の名称</t>
  </si>
  <si>
    <t>raceCondition(detailed：Notes)</t>
  </si>
  <si>
    <t>My騎手</t>
  </si>
  <si>
    <t>myJockey</t>
  </si>
  <si>
    <t>horsePrediction: horseId</t>
  </si>
  <si>
    <t>買い目</t>
  </si>
  <si>
    <t>kaime</t>
  </si>
  <si>
    <t>horsePrediction: horseName</t>
  </si>
  <si>
    <t>購入履歴</t>
  </si>
  <si>
    <t>placeCondition</t>
  </si>
  <si>
    <t>arrivalOrder</t>
  </si>
  <si>
    <t>着度数</t>
  </si>
  <si>
    <t>resultCountSummary</t>
  </si>
  <si>
    <t>ownerId</t>
  </si>
  <si>
    <t>7/18荒尾追記</t>
  </si>
  <si>
    <t>1着度数</t>
  </si>
  <si>
    <t>firstResultCount</t>
  </si>
  <si>
    <t>ownerName</t>
  </si>
  <si>
    <t>2着度数</t>
  </si>
  <si>
    <t>secondResultCount</t>
  </si>
  <si>
    <t>breederId</t>
  </si>
  <si>
    <t>3着度数</t>
  </si>
  <si>
    <t>thirdResultCount</t>
  </si>
  <si>
    <t>breederName</t>
  </si>
  <si>
    <t>勝率</t>
  </si>
  <si>
    <t>winRate</t>
  </si>
  <si>
    <t>連対率</t>
  </si>
  <si>
    <t>rentaiRate</t>
  </si>
  <si>
    <t>複勝率</t>
  </si>
  <si>
    <t>fukushouRate</t>
  </si>
  <si>
    <t>単勝回収率</t>
  </si>
  <si>
    <t>tanshouRecoveryRate</t>
  </si>
  <si>
    <t>複勝回収率</t>
  </si>
  <si>
    <t>fukushouRecoveryRate</t>
  </si>
  <si>
    <t>枠番</t>
  </si>
  <si>
    <t>未報告</t>
  </si>
  <si>
    <t>脚質</t>
  </si>
  <si>
    <t>horseRunningStyle</t>
  </si>
  <si>
    <t>単勝配当金</t>
  </si>
  <si>
    <t>firstArrival.style → firstArrival.horseRunningStyle</t>
  </si>
  <si>
    <t>馬連配当金</t>
  </si>
  <si>
    <t>umarenRefund</t>
  </si>
  <si>
    <t>firstArrival.popularity</t>
  </si>
  <si>
    <t>馬単配当金</t>
  </si>
  <si>
    <t>umatanRefund</t>
  </si>
  <si>
    <t>secondArrival.style → secondArrival.horseRunningStyle</t>
  </si>
  <si>
    <t>3連複配当金</t>
  </si>
  <si>
    <t>sanrenpukuRefund</t>
  </si>
  <si>
    <t>secondArrival.popularity</t>
  </si>
  <si>
    <t>3連単配当金</t>
  </si>
  <si>
    <t>sanrentanRefund</t>
  </si>
  <si>
    <t>thirdArrival.style → thirdArrival.horseRunningStyle</t>
  </si>
  <si>
    <t>thirdArrival.popularity</t>
  </si>
  <si>
    <t>パターン</t>
  </si>
  <si>
    <t>芝</t>
  </si>
  <si>
    <t>turfCondtion</t>
  </si>
  <si>
    <t>trackKind</t>
  </si>
  <si>
    <t>courseType</t>
  </si>
  <si>
    <t>trackCode &amp; trackName</t>
  </si>
  <si>
    <t>ダート</t>
  </si>
  <si>
    <t>障害</t>
  </si>
  <si>
    <t>使用場所</t>
  </si>
  <si>
    <t>レース一覧 ファーストビュー(注目レース)</t>
  </si>
  <si>
    <t>holdingCount →holdingTime</t>
  </si>
  <si>
    <t>レース詳細ヘッダー</t>
  </si>
  <si>
    <t>レース一覧条件絞り込みモーダル</t>
  </si>
  <si>
    <t>fenceType</t>
  </si>
  <si>
    <t>重賞一覧</t>
  </si>
  <si>
    <t>first3Furlong</t>
  </si>
  <si>
    <t>過去10年</t>
  </si>
  <si>
    <t>last3Furlong</t>
  </si>
  <si>
    <t>近走成績 条件絞り込み詳細設定</t>
  </si>
  <si>
    <t>winnerHorseName → horseName</t>
  </si>
  <si>
    <t>本日の傾向 脚質</t>
  </si>
  <si>
    <t>direction → courseDirection</t>
  </si>
  <si>
    <t>レース詳細 近走成績 近走タイム分析条件絞り込み設定</t>
  </si>
  <si>
    <t>predictionMark</t>
  </si>
  <si>
    <t>本日の傾向</t>
  </si>
  <si>
    <t>key: "borderNumber"</t>
  </si>
  <si>
    <t>コース状態のため関係ない</t>
  </si>
  <si>
    <t>過去10年の設計書ではtrackCodeのみを右回り or 左回りで使用</t>
  </si>
  <si>
    <t>key: "tanshouOdds"</t>
  </si>
  <si>
    <t>直接芝 or ダートが入っているわけではない</t>
  </si>
  <si>
    <t>key: "popularity"</t>
  </si>
  <si>
    <t>key: "horseRunningStyle"</t>
  </si>
  <si>
    <t>芝/ダート</t>
  </si>
  <si>
    <r>
      <rPr>
        <strike/>
        <sz val="10"/>
        <color rgb="FFFF0000"/>
        <rFont val="Arial"/>
      </rPr>
      <t>courseType</t>
    </r>
    <r>
      <rPr>
        <sz val="10"/>
        <color rgb="FFFF0000"/>
        <rFont val="Arial"/>
      </rPr>
      <t xml:space="preserve"> trackType</t>
    </r>
  </si>
  <si>
    <t>廃止するもの tracKind, trackName→対応ずみ</t>
  </si>
  <si>
    <t>key: "breeder"</t>
  </si>
  <si>
    <t>内回り/外回り</t>
  </si>
  <si>
    <t>innerOrOuter</t>
  </si>
  <si>
    <t>key: "stallion"</t>
  </si>
  <si>
    <t>コースの向き</t>
  </si>
  <si>
    <t>右回り/左回り</t>
  </si>
  <si>
    <r>
      <rPr>
        <strike/>
        <sz val="10"/>
        <color rgb="FFFF0000"/>
        <rFont val="Arial"/>
      </rPr>
      <t>weatherCode</t>
    </r>
    <r>
      <rPr>
        <sz val="10"/>
        <color rgb="FF000000"/>
        <rFont val="Arial"/>
      </rPr>
      <t xml:space="preserve"> → weather</t>
    </r>
  </si>
  <si>
    <t>key: "horseWeight"</t>
  </si>
  <si>
    <t>芝の状態</t>
  </si>
  <si>
    <t>key: "jockey"</t>
  </si>
  <si>
    <t>ダートの状態</t>
  </si>
  <si>
    <t>key: "jockeyContinue"</t>
  </si>
  <si>
    <t>key: "burdenWeight"</t>
  </si>
  <si>
    <t>競争条件</t>
  </si>
  <si>
    <t>raceCondition</t>
  </si>
  <si>
    <t>例: オープン、未勝利、未出走、新馬、１勝クラス〜</t>
  </si>
  <si>
    <t>key: "horseNumber"</t>
  </si>
  <si>
    <t>競争記号</t>
  </si>
  <si>
    <t>raceSymbol</t>
  </si>
  <si>
    <t>例: 牡・ｾﾝ (指定), (混合)</t>
  </si>
  <si>
    <t>key: "horseBirthMonth"</t>
  </si>
  <si>
    <t>競争種別</t>
  </si>
  <si>
    <t>例: 2歳、障害3歳〜</t>
  </si>
  <si>
    <t>key: "placeCondition"</t>
  </si>
  <si>
    <t>グレードコード</t>
  </si>
  <si>
    <t>例: A,B,C,D,L → gradeに読み替えるとG1, G2~</t>
  </si>
  <si>
    <r>
      <rPr>
        <strike/>
        <sz val="10"/>
        <color rgb="FFFF0000"/>
        <rFont val="Arial"/>
      </rPr>
      <t>placeName</t>
    </r>
    <r>
      <rPr>
        <sz val="10"/>
        <color rgb="FF000000"/>
        <rFont val="Arial"/>
      </rPr>
      <t xml:space="preserve"> → place</t>
    </r>
  </si>
  <si>
    <t>firstHorseList: horseId</t>
  </si>
  <si>
    <t>secondHorseList: horseId</t>
  </si>
  <si>
    <t>推定テン</t>
  </si>
  <si>
    <t>estimatedPase</t>
  </si>
  <si>
    <t>thirdHorseList: horseId</t>
  </si>
  <si>
    <t>Time指数</t>
  </si>
  <si>
    <t>timeIndex</t>
  </si>
  <si>
    <t>unplacedHorseList: horseId</t>
  </si>
  <si>
    <t>同開催</t>
  </si>
  <si>
    <t>sameMeet</t>
  </si>
  <si>
    <t>key: "tanshouRefund"</t>
  </si>
  <si>
    <t>性齢</t>
  </si>
  <si>
    <t xml:space="preserve">sexAndAge </t>
  </si>
  <si>
    <t>key: "fukushouRefund"</t>
  </si>
  <si>
    <t>前走馬体重</t>
  </si>
  <si>
    <t xml:space="preserve">prevHorseWeight </t>
  </si>
  <si>
    <t>key: " wakurenRefund"</t>
  </si>
  <si>
    <t>レース間隔</t>
  </si>
  <si>
    <t>raceLotation</t>
  </si>
  <si>
    <t>key: "umarenRefund"</t>
  </si>
  <si>
    <t>母父</t>
  </si>
  <si>
    <t>horseBroodmareSire</t>
  </si>
  <si>
    <t>key: "wideRefund"</t>
  </si>
  <si>
    <t>馬誕生月</t>
  </si>
  <si>
    <t xml:space="preserve">horseBirthMonth </t>
  </si>
  <si>
    <t>key: "umatanRefund"</t>
  </si>
  <si>
    <t>継続 or 乗替</t>
  </si>
  <si>
    <t xml:space="preserve">jockeyContinue </t>
  </si>
  <si>
    <t>key: "sanrenpukuRefund"</t>
  </si>
  <si>
    <t>前走距離比較</t>
  </si>
  <si>
    <t>prevDistanceComparison</t>
  </si>
  <si>
    <t>key: "sanrentanRefund"</t>
  </si>
  <si>
    <t>value: borderNumber</t>
  </si>
  <si>
    <t>前半3F</t>
  </si>
  <si>
    <t>過去10年で使用</t>
  </si>
  <si>
    <t>後半3F</t>
  </si>
  <si>
    <r>
      <rPr>
        <sz val="10"/>
        <color rgb="FFFF0000"/>
        <rFont val="Arial"/>
      </rPr>
      <t xml:space="preserve">userPrediction </t>
    </r>
    <r>
      <rPr>
        <sz val="10"/>
        <color rgb="FF000000"/>
        <rFont val="Arial"/>
      </rPr>
      <t>→ predictionMark</t>
    </r>
  </si>
  <si>
    <t>荒れ予想/荒れ度</t>
  </si>
  <si>
    <r>
      <rPr>
        <sz val="10"/>
        <color rgb="FFFF0000"/>
        <rFont val="Arial"/>
      </rPr>
      <t xml:space="preserve">horseMemo </t>
    </r>
    <r>
      <rPr>
        <sz val="10"/>
        <color rgb="FF000000"/>
        <rFont val="Arial"/>
      </rPr>
      <t>→ raceHorseMemo</t>
    </r>
  </si>
  <si>
    <t>着順</t>
  </si>
  <si>
    <t>柵の位置(コース)</t>
  </si>
  <si>
    <t>馬番</t>
  </si>
  <si>
    <t>人気(単勝)</t>
  </si>
  <si>
    <t>走破タイム</t>
  </si>
  <si>
    <t>arrivalTime</t>
  </si>
  <si>
    <t>上がり3F</t>
  </si>
  <si>
    <t>finalThreeFurLong</t>
  </si>
  <si>
    <t>レースの後半3Fとの区別をどうするか？</t>
  </si>
  <si>
    <t>南: 上がり3F＝レース後半3Fの認識</t>
  </si>
  <si>
    <t>馬体重</t>
  </si>
  <si>
    <t>コーナー通過順</t>
  </si>
  <si>
    <t>cornerPosition</t>
  </si>
  <si>
    <t>ポジション</t>
  </si>
  <si>
    <t>racePosition</t>
  </si>
  <si>
    <t>レースを通じてのポジション</t>
  </si>
  <si>
    <t>斤量</t>
  </si>
  <si>
    <t>1着馬(1着の場合は2着馬)</t>
  </si>
  <si>
    <t>winnerHorseName</t>
  </si>
  <si>
    <t>着差(タイム差)</t>
  </si>
  <si>
    <t>winnerTimeDiferrnce</t>
  </si>
  <si>
    <t>父</t>
  </si>
  <si>
    <t>horseSire</t>
  </si>
  <si>
    <t>https://jra.jp/keiba/overseas/yougo/w288.html</t>
  </si>
  <si>
    <t>南: 競馬というコンテキストではfather, motherって言ったら必然的にSire Damになるので聞き慣れた単語の方がいいかも</t>
  </si>
  <si>
    <t>母</t>
  </si>
  <si>
    <t>horseDam</t>
  </si>
  <si>
    <t>https://jra.jp/keiba/overseas/yougo/w69.html</t>
  </si>
  <si>
    <t>2歳, 3歳, 3歳上 or 4歳上</t>
  </si>
  <si>
    <t>generation</t>
  </si>
  <si>
    <r>
      <rPr>
        <u/>
        <sz val="10"/>
        <color rgb="FF1155CC"/>
        <rFont val="Arial"/>
      </rPr>
      <t>レース一覧&gt;条件絞り込みモーダル(/races/myFilterCondition)</t>
    </r>
    <r>
      <rPr>
        <sz val="10"/>
        <color rgb="FF000000"/>
        <rFont val="Arial"/>
        <scheme val="minor"/>
      </rPr>
      <t xml:space="preserve"> で使用</t>
    </r>
  </si>
  <si>
    <t>自信あり, 自信なし or 見送り</t>
  </si>
  <si>
    <t>confidenceLevel</t>
  </si>
  <si>
    <t>平場or特別</t>
  </si>
  <si>
    <t>isSpecialRace</t>
  </si>
  <si>
    <r>
      <t xml:space="preserve">keiba_contentsの変数名
設計書ではrace, </t>
    </r>
    <r>
      <rPr>
        <u/>
        <sz val="10"/>
        <color rgb="FF1155CC"/>
        <rFont val="Arial"/>
      </rPr>
      <t>PR</t>
    </r>
    <r>
      <rPr>
        <sz val="10"/>
        <color rgb="FF000000"/>
        <rFont val="Arial"/>
        <scheme val="minor"/>
      </rPr>
      <t>ではraceType</t>
    </r>
  </si>
  <si>
    <t>距離選択 範囲指定</t>
  </si>
  <si>
    <t xml:space="preserve">distanceFrom, </t>
  </si>
  <si>
    <r>
      <rPr>
        <u/>
        <sz val="10"/>
        <color rgb="FF1155CC"/>
        <rFont val="Arial"/>
      </rPr>
      <t>PR</t>
    </r>
    <r>
      <rPr>
        <sz val="10"/>
        <color rgb="FF000000"/>
        <rFont val="Arial"/>
        <scheme val="minor"/>
      </rPr>
      <t>より</t>
    </r>
  </si>
  <si>
    <t>distanceTo</t>
  </si>
  <si>
    <t>出走頭数選択 範囲指定</t>
  </si>
  <si>
    <t>headNumberFrom</t>
  </si>
  <si>
    <t>headNumberTo</t>
  </si>
  <si>
    <t>指数1位の値 範囲指定</t>
  </si>
  <si>
    <t>highestIndicatorValueFrom</t>
  </si>
  <si>
    <t>highestIndicatorValueTo</t>
  </si>
  <si>
    <t>指数1位の人気 範囲指定</t>
  </si>
  <si>
    <t>highestIndictorPopularityFrom</t>
  </si>
  <si>
    <t>highestIndictorPopularityTo</t>
  </si>
  <si>
    <t>1人気のオッズ 範囲指定</t>
  </si>
  <si>
    <t>mostPopularHorseOddsFrom</t>
  </si>
  <si>
    <t>mostPopularHorseOddsTo</t>
  </si>
  <si>
    <t>馬場状態</t>
  </si>
  <si>
    <t>trackCondition</t>
  </si>
  <si>
    <t>芝/ダートで分けているが1つにする方が良いのでは</t>
  </si>
  <si>
    <t>テン乗りか否か</t>
  </si>
  <si>
    <t>isFirstRide</t>
  </si>
  <si>
    <t>my騎手メモ</t>
  </si>
  <si>
    <t>myJockeyMemo</t>
  </si>
  <si>
    <r>
      <rPr>
        <strike/>
        <sz val="10"/>
        <color rgb="FFFF0000"/>
        <rFont val="Arial"/>
      </rPr>
      <t>predictionUser</t>
    </r>
    <r>
      <rPr>
        <sz val="10"/>
        <color rgb="FF000000"/>
        <rFont val="Arial"/>
      </rPr>
      <t xml:space="preserve"> → predictionMark</t>
    </r>
  </si>
  <si>
    <r>
      <rPr>
        <strike/>
        <sz val="10"/>
        <color rgb="FFFF0000"/>
        <rFont val="Arial"/>
      </rPr>
      <t>firstArrival.style</t>
    </r>
    <r>
      <rPr>
        <sz val="10"/>
        <color rgb="FF000000"/>
        <rFont val="Arial"/>
      </rPr>
      <t xml:space="preserve"> → firstArrival.horseRunningStyle</t>
    </r>
  </si>
  <si>
    <r>
      <rPr>
        <strike/>
        <sz val="10"/>
        <color rgb="FFFF0000"/>
        <rFont val="Arial"/>
      </rPr>
      <t>secondArrival.style</t>
    </r>
    <r>
      <rPr>
        <sz val="10"/>
        <color rgb="FF000000"/>
        <rFont val="Arial"/>
      </rPr>
      <t xml:space="preserve"> → secondArrival.horseRunningStyle</t>
    </r>
  </si>
  <si>
    <r>
      <rPr>
        <strike/>
        <sz val="10"/>
        <color rgb="FFFF0000"/>
        <rFont val="Arial"/>
      </rPr>
      <t>thirdArrival.style</t>
    </r>
    <r>
      <rPr>
        <sz val="10"/>
        <color rgb="FF000000"/>
        <rFont val="Arial"/>
      </rPr>
      <t xml:space="preserve"> → thirdArrival.horseRunningStyle</t>
    </r>
  </si>
  <si>
    <r>
      <rPr>
        <strike/>
        <sz val="10"/>
        <color rgb="FFFF0000"/>
        <rFont val="Arial"/>
      </rPr>
      <t>holdingCount</t>
    </r>
    <r>
      <rPr>
        <sz val="10"/>
        <color rgb="FF000000"/>
        <rFont val="Arial"/>
      </rPr>
      <t xml:space="preserve"> →holdingTime</t>
    </r>
  </si>
  <si>
    <r>
      <rPr>
        <strike/>
        <sz val="10"/>
        <color rgb="FFFF0000"/>
        <rFont val="Arial"/>
      </rPr>
      <t>winnerHorseName</t>
    </r>
    <r>
      <rPr>
        <sz val="10"/>
        <color rgb="FF000000"/>
        <rFont val="Arial"/>
      </rPr>
      <t xml:space="preserve"> → horseName</t>
    </r>
  </si>
  <si>
    <r>
      <rPr>
        <sz val="10"/>
        <color rgb="FFFF0000"/>
        <rFont val="Arial"/>
      </rPr>
      <t>direction</t>
    </r>
    <r>
      <rPr>
        <sz val="10"/>
        <color rgb="FF000000"/>
        <rFont val="Arial"/>
      </rPr>
      <t xml:space="preserve"> → courseDirection</t>
    </r>
  </si>
  <si>
    <t>Field Name</t>
  </si>
  <si>
    <t>Format / Enum /Regex</t>
  </si>
  <si>
    <t>Example</t>
  </si>
  <si>
    <t>Note</t>
  </si>
  <si>
    <t>date</t>
  </si>
  <si>
    <t xml:space="preserve">ISO 8601 UTC	</t>
  </si>
  <si>
    <t>2025-09-23T10:30:00Z</t>
  </si>
  <si>
    <t>email</t>
  </si>
  <si>
    <t>password</t>
  </si>
  <si>
    <t>role</t>
  </si>
  <si>
    <t>USER | ADMIN | SUPER_ADMIN</t>
  </si>
  <si>
    <t>USER</t>
  </si>
  <si>
    <t xml:space="preserve">phoneNumber	</t>
  </si>
  <si>
    <t xml:space="preserve">string	</t>
  </si>
  <si>
    <t>E.164</t>
  </si>
  <si>
    <t>未</t>
  </si>
  <si>
    <t>Item</t>
  </si>
  <si>
    <t>Min Length</t>
  </si>
  <si>
    <t>Max Length</t>
  </si>
  <si>
    <t>Ghi chú thay đổi theo giá trị nào đó</t>
  </si>
  <si>
    <t>Ghi chú</t>
  </si>
  <si>
    <t>Header</t>
  </si>
  <si>
    <t>E001</t>
  </si>
  <si>
    <t>Client Error</t>
  </si>
  <si>
    <t>Show field error</t>
  </si>
  <si>
    <t>Invalid email or password</t>
  </si>
  <si>
    <t>ログイン情報が間違っています。</t>
  </si>
  <si>
    <t>E002</t>
  </si>
  <si>
    <t>Show field errors</t>
  </si>
  <si>
    <t>Validation failed</t>
  </si>
  <si>
    <t>E007</t>
  </si>
  <si>
    <t>Server Error</t>
  </si>
  <si>
    <t>Go to page error 500</t>
  </si>
  <si>
    <t>Server error</t>
  </si>
  <si>
    <t>サーバーエラー</t>
  </si>
  <si>
    <t>Request</t>
  </si>
  <si>
    <t>Go to page error 503</t>
  </si>
  <si>
    <t>デプロイ時のエラー、サーバーがリクエストを処理できません...</t>
  </si>
  <si>
    <t>{
  "statusCode": 200,
  "message": "Success",
  "data": {
    "refreshToken": "eyJhbGciOiJIUzI1NiIsInR5cCI6IkpXVCJ9.eyJzZXNzaW9uSWQiOjUsImhhc2giOiIzNjJkMGQxMmI5YWRhYTU3ZDdkYjM4M2NlMGFhZmE5YjVlNjEyNGIzYzY5ODZlOTlmNjIxMmNiNzM5NzBjYzZlIiwiaWF0IjoxNzYzNjIxODY1LCJleHAiOjIwNzg5ODE4NjV9.plQ1e6DA3ztBXAQdp5qFGp9Cr6viCv8aDyRynrRQhPw",
    "token": "eyJhbGciOiJIUzI1NiIsInR5cCI6IkpXVCJ9.eyJpZCI6Miwicm9sZSI6eyJpZCI6MSwibmFtZSI6IlVTRVIiLCJkZXNjcmlwdGlvbiI6IlJlZ3VsYXIgdXNlciB3aXRoIGJhc2ljIHBlcm1pc3Npb25zIn0sInNlc3Npb25JZCI6NSwicm9sZXMiOlsiVVNFUiJdLCJpYXQiOjE3NjM2MjE4NjUsImV4cCI6MTc2MzYyMjc2NX0.2IrdV3Q7yvvcDHFoWc5rM85rFRPWtEQWad1Er021yoQ",
    "tokenExpires": 1763622765839,
    "user": {
      "id": 2,
      "email": "john.doe@example.com",
      "provider": "email",
      "socialId": null,
      "firstName": "John",
      "lastName": "Doe",
      "roles": [
        {
          "id": 1,
          "name": "USER",
          "description": "Regular user with basic permissions"
        }
      ],
      "createdAt": "2025-11-20T06:11:20.291Z",
      "updatedAt": "2025-11-20T06:11:20.291Z",
      "deletedAt": null,
      "status": "ACTIVE",
      "createdBy": null,
      "updatedBy": null
    }
  }
}</t>
  </si>
  <si>
    <t>{
  "statusCode": 400,
  "message": "Email or password is incorrect",
  "reason": "BadRequest",
  "details": null
}</t>
  </si>
  <si>
    <t>Show retry error</t>
  </si>
  <si>
    <t>Rate limit exceeded</t>
  </si>
  <si>
    <t>一定時間内に連続してログインする。</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</si>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</sst>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numFmts>
  <fonts count="54">
    <font>
      <sz val="10"/>
      <color rgb="FF000000"/>
      <name val="Arial"/>
      <scheme val="minor"/>
    </font>
    <font>
      <sz val="10"/>
      <color theme="1"/>
      <name val="Arial"/>
      <scheme val="minor"/>
    </font>
    <font>
      <sz val="10"/>
      <color rgb="FF000000"/>
      <name val="Arial"/>
    </font>
    <font>
      <u/>
      <sz val="10"/>
      <color rgb="FF0000FF"/>
      <name val="Arial"/>
    </font>
    <font>
      <sz val="10"/>
      <color rgb="FFFFFFFF"/>
      <name val="Arial"/>
    </font>
    <font>
      <sz val="10"/>
      <color rgb="FFFFFFFF"/>
      <name val="MS-PGothic"/>
    </font>
    <font>
      <sz val="10"/>
      <color theme="1"/>
      <name val="Arial"/>
    </font>
    <font>
      <sz val="10"/>
      <color theme="1"/>
      <name val="MS-PGothic"/>
    </font>
    <font>
      <b/>
      <u/>
      <sz val="12"/>
      <color rgb="FFFFFFFF"/>
      <name val="Arial"/>
    </font>
    <font>
      <b/>
      <sz val="12"/>
      <color theme="1"/>
      <name val="Arial"/>
      <scheme val="minor"/>
    </font>
    <font>
      <sz val="10"/>
      <name val="Arial"/>
    </font>
    <font>
      <b/>
      <u/>
      <sz val="10"/>
      <color rgb="FFFF0000"/>
      <name val="Arial"/>
    </font>
    <font>
      <sz val="12"/>
      <color rgb="FF000000"/>
      <name val="&quot;Source Code Pro&quot;"/>
    </font>
    <font>
      <strike/>
      <sz val="10"/>
      <color theme="1"/>
      <name val="Arial"/>
      <scheme val="minor"/>
    </font>
    <font>
      <strike/>
      <sz val="10"/>
      <color rgb="FFFF0000"/>
      <name val="Arial"/>
      <scheme val="minor"/>
    </font>
    <font>
      <sz val="10"/>
      <color rgb="FF000000"/>
      <name val="Arial"/>
      <scheme val="minor"/>
    </font>
    <font>
      <sz val="10"/>
      <color rgb="FFFF0000"/>
      <name val="Arial"/>
      <scheme val="minor"/>
    </font>
    <font>
      <b/>
      <sz val="12"/>
      <color rgb="FF000000"/>
      <name val="Arial"/>
      <scheme val="minor"/>
    </font>
    <font>
      <u/>
      <sz val="10"/>
      <color rgb="FF1155CC"/>
      <name val="Arial"/>
    </font>
    <font>
      <sz val="10"/>
      <color rgb="FFFF0000"/>
      <name val="Arial"/>
    </font>
    <font>
      <sz val="18"/>
      <color rgb="FFFF0000"/>
      <name val="Arial"/>
      <scheme val="minor"/>
    </font>
    <font>
      <b/>
      <sz val="10"/>
      <color theme="1"/>
      <name val="Arial"/>
    </font>
    <font>
      <sz val="11"/>
      <color rgb="FF242424"/>
      <name val="Arial"/>
    </font>
    <font>
      <sz val="11"/>
      <color theme="1"/>
      <name val="Arial"/>
      <scheme val="minor"/>
    </font>
    <font>
      <sz val="11"/>
      <color rgb="FF000000"/>
      <name val="Arial"/>
    </font>
    <font>
      <strike/>
      <sz val="10"/>
      <color rgb="FF000000"/>
      <name val="Arial"/>
    </font>
    <font>
      <b/>
      <sz val="10"/>
      <color rgb="FF000000"/>
      <name val="Arial"/>
    </font>
    <font>
      <strike/>
      <sz val="10"/>
      <color rgb="FFFF0000"/>
      <name val="Arial"/>
    </font>
    <font>
      <strike/>
      <sz val="10"/>
      <color theme="1"/>
      <name val="Arial"/>
    </font>
    <font>
      <b/>
      <sz val="12"/>
      <color rgb="FF000000"/>
      <name val="Arial"/>
      <charset val="1"/>
    </font>
    <font>
      <sz val="11"/>
      <color rgb="FF000000"/>
      <name val="MS Mincho"/>
      <family val="1"/>
      <charset val="128"/>
    </font>
    <font>
      <sz val="11"/>
      <name val="ＭＳ Ｐゴシック"/>
      <family val="3"/>
      <charset val="128"/>
    </font>
    <font>
      <sz val="9"/>
      <color rgb="FF000000"/>
      <name val="ＭＳ Ｐゴシック"/>
      <family val="3"/>
      <charset val="128"/>
    </font>
    <font>
      <sz val="9"/>
      <color rgb="FFFF0000"/>
      <name val="ＭＳ Ｐゴシック"/>
      <family val="3"/>
      <charset val="128"/>
    </font>
    <font>
      <sz val="8"/>
      <color rgb="FFFF0000"/>
      <name val="ＭＳ Ｐゴシック"/>
      <family val="3"/>
      <charset val="128"/>
    </font>
    <font>
      <sz val="11"/>
      <color rgb="FF000000"/>
      <name val="ＭＳ Ｐゴシック"/>
      <family val="3"/>
      <charset val="128"/>
    </font>
    <font>
      <sz val="11"/>
      <color rgb="FFFF0000"/>
      <name val="ＭＳ Ｐゴシック"/>
      <family val="3"/>
      <charset val="128"/>
    </font>
    <font>
      <sz val="10"/>
      <name val="ＭＳ Ｐゴシック"/>
      <family val="3"/>
      <charset val="128"/>
    </font>
    <font>
      <sz val="11"/>
      <color theme="1"/>
      <name val="ＭＳ Ｐゴシック"/>
      <family val="3"/>
      <charset val="128"/>
    </font>
    <font>
      <sz val="12"/>
      <name val="ＭＳ Ｐゴシック"/>
      <family val="3"/>
      <charset val="128"/>
    </font>
    <font>
      <b/>
      <sz val="11"/>
      <name val="ＭＳ Ｐゴシック"/>
      <family val="3"/>
      <charset val="128"/>
    </font>
    <font>
      <sz val="9"/>
      <name val="ＭＳ Ｐゴシック"/>
      <family val="3"/>
      <charset val="128"/>
    </font>
    <font>
      <sz val="8"/>
      <color rgb="FF000000"/>
      <name val="ＭＳ Ｐゴシック"/>
      <family val="3"/>
      <charset val="128"/>
    </font>
    <font>
      <sz val="9"/>
      <color rgb="FF000000"/>
      <name val="ＭＳ Ｐゴシック"/>
      <charset val="1"/>
    </font>
    <font>
      <u/>
      <sz val="10"/>
      <color theme="10"/>
      <name val="Arial"/>
      <scheme val="minor"/>
    </font>
    <font>
      <sz val="10"/>
      <color rgb="FF000000"/>
      <name val="Arial"/>
      <charset val="1"/>
    </font>
    <font>
      <b/>
      <sz val="12"/>
      <color theme="4"/>
      <name val="ＭＳ Ｐゴシック"/>
      <family val="3"/>
      <charset val="128"/>
    </font>
    <font>
      <b/>
      <sz val="12"/>
      <color rgb="FFEA4335"/>
      <name val="ＭＳ Ｐゴシック"/>
    </font>
    <font>
      <sz val="10"/>
      <color theme="5"/>
      <name val="ＭＳ Ｐゴシック"/>
      <family val="3"/>
      <charset val="128"/>
    </font>
    <font>
      <sz val="14"/>
      <color rgb="FFEA4335"/>
      <name val="ＭＳ Ｐゴシック"/>
    </font>
    <font>
      <sz val="10"/>
      <color rgb="FFEA4335"/>
      <name val="Arial"/>
      <scheme val="minor"/>
    </font>
    <font>
      <b/>
      <sz val="10"/>
      <color rgb="FF000000"/>
      <name val="Arial"/>
      <scheme val="minor"/>
    </font>
    <font>
      <strike/>
      <u/>
      <sz val="10"/>
      <color rgb="FF1155CC"/>
      <name val="Arial"/>
      <scheme val="minor"/>
    </font>
    <font>
      <u/>
      <sz val="10"/>
      <color rgb="FF1155CC"/>
      <name val="Arial"/>
      <scheme val="minor"/>
    </font>
  </fonts>
  <fills count="22">
    <fill>
      <patternFill patternType="none"/>
    </fill>
    <fill>
      <patternFill patternType="gray125"/>
    </fill>
    <fill>
      <patternFill patternType="solid">
        <fgColor rgb="FFFFFFFF"/>
        <bgColor rgb="FFFFFFFF"/>
      </patternFill>
    </fill>
    <fill>
      <patternFill patternType="solid">
        <fgColor rgb="FF434343"/>
        <bgColor rgb="FF434343"/>
      </patternFill>
    </fill>
    <fill>
      <patternFill patternType="solid">
        <fgColor rgb="FFFF00FF"/>
        <bgColor rgb="FFFF00FF"/>
      </patternFill>
    </fill>
    <fill>
      <patternFill patternType="solid">
        <fgColor rgb="FF999999"/>
        <bgColor rgb="FF999999"/>
      </patternFill>
    </fill>
    <fill>
      <patternFill patternType="solid">
        <fgColor rgb="FFD9D9D9"/>
        <bgColor rgb="FFD9D9D9"/>
      </patternFill>
    </fill>
    <fill>
      <patternFill patternType="solid">
        <fgColor rgb="FFCCCCCC"/>
        <bgColor rgb="FFCCCCCC"/>
      </patternFill>
    </fill>
    <fill>
      <patternFill patternType="solid">
        <fgColor rgb="FFCFE2F3"/>
        <bgColor rgb="FFCFE2F3"/>
      </patternFill>
    </fill>
    <fill>
      <patternFill patternType="solid">
        <fgColor rgb="FFFCE5CD"/>
        <bgColor rgb="FFFCE5CD"/>
      </patternFill>
    </fill>
    <fill>
      <patternFill patternType="solid">
        <fgColor rgb="FFE6B8AF"/>
        <bgColor rgb="FFE6B8AF"/>
      </patternFill>
    </fill>
    <fill>
      <patternFill patternType="solid">
        <fgColor rgb="FFF1C232"/>
        <bgColor rgb="FFF1C232"/>
      </patternFill>
    </fill>
    <fill>
      <patternFill patternType="solid">
        <fgColor rgb="FF073763"/>
        <bgColor rgb="FF073763"/>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FF2CC"/>
        <bgColor rgb="FFFFF2CC"/>
      </patternFill>
    </fill>
    <fill>
      <patternFill patternType="solid">
        <fgColor theme="7" tint="0.79998168889431442"/>
        <bgColor indexed="64"/>
      </patternFill>
    </fill>
    <fill>
      <patternFill patternType="solid">
        <fgColor theme="4" tint="0.59999389629810485"/>
        <bgColor rgb="FFBDD6EE"/>
      </patternFill>
    </fill>
    <fill>
      <patternFill patternType="solid">
        <fgColor rgb="FFBDD6EE"/>
        <bgColor rgb="FFBDD6EE"/>
      </patternFill>
    </fill>
    <fill>
      <patternFill patternType="solid">
        <fgColor theme="4" tint="0.59999389629810485"/>
        <bgColor indexed="64"/>
      </patternFill>
    </fill>
    <fill>
      <patternFill patternType="solid">
        <fgColor rgb="FF92D050"/>
        <bgColor indexed="64"/>
      </patternFill>
    </fill>
  </fills>
  <borders count="106">
    <border>
      <left/>
      <right/>
      <top/>
      <bottom/>
      <diagonal/>
    </border>
    <border>
      <left style="thin">
        <color rgb="FFB7B7B7"/>
      </left>
      <right style="thin">
        <color rgb="FFB7B7B7"/>
      </right>
      <top style="thin">
        <color rgb="FFB7B7B7"/>
      </top>
      <bottom style="medium">
        <color rgb="FF000000"/>
      </bottom>
      <diagonal/>
    </border>
    <border>
      <left style="thin">
        <color rgb="FFB7B7B7"/>
      </left>
      <right style="medium">
        <color rgb="FF000000"/>
      </right>
      <top style="thin">
        <color rgb="FFB7B7B7"/>
      </top>
      <bottom style="medium">
        <color rgb="FF000000"/>
      </bottom>
      <diagonal/>
    </border>
    <border>
      <left style="thin">
        <color rgb="FFB7B7B7"/>
      </left>
      <right style="thin">
        <color rgb="FFB7B7B7"/>
      </right>
      <top/>
      <bottom style="medium">
        <color rgb="FFFFFFFF"/>
      </bottom>
      <diagonal/>
    </border>
    <border>
      <left style="thin">
        <color rgb="FFB7B7B7"/>
      </left>
      <right style="thin">
        <color rgb="FFB7B7B7"/>
      </right>
      <top/>
      <bottom style="thin">
        <color rgb="FF666666"/>
      </bottom>
      <diagonal/>
    </border>
    <border>
      <left style="thin">
        <color rgb="FFB7B7B7"/>
      </left>
      <right style="medium">
        <color rgb="FF000000"/>
      </right>
      <top/>
      <bottom style="thin">
        <color rgb="FF666666"/>
      </bottom>
      <diagonal/>
    </border>
    <border>
      <left style="thin">
        <color rgb="FFB7B7B7"/>
      </left>
      <right style="thin">
        <color rgb="FFB7B7B7"/>
      </right>
      <top style="medium">
        <color rgb="FFFFFFFF"/>
      </top>
      <bottom style="medium">
        <color rgb="FFFFFFFF"/>
      </bottom>
      <diagonal/>
    </border>
    <border>
      <left style="thin">
        <color rgb="FFB7B7B7"/>
      </left>
      <right style="thin">
        <color rgb="FFB7B7B7"/>
      </right>
      <top style="thin">
        <color rgb="FF666666"/>
      </top>
      <bottom style="thin">
        <color rgb="FF666666"/>
      </bottom>
      <diagonal/>
    </border>
    <border>
      <left style="thin">
        <color rgb="FFB7B7B7"/>
      </left>
      <right style="medium">
        <color rgb="FF000000"/>
      </right>
      <top style="thin">
        <color rgb="FF666666"/>
      </top>
      <bottom style="thin">
        <color rgb="FF666666"/>
      </bottom>
      <diagonal/>
    </border>
    <border>
      <left style="thin">
        <color rgb="FFB7B7B7"/>
      </left>
      <right style="thin">
        <color rgb="FFB7B7B7"/>
      </right>
      <top style="medium">
        <color rgb="FFFFFFFF"/>
      </top>
      <bottom/>
      <diagonal/>
    </border>
    <border>
      <left style="thin">
        <color rgb="FFB7B7B7"/>
      </left>
      <right style="thin">
        <color rgb="FFB7B7B7"/>
      </right>
      <top style="thin">
        <color rgb="FF666666"/>
      </top>
      <bottom/>
      <diagonal/>
    </border>
    <border>
      <left style="thin">
        <color rgb="FFB7B7B7"/>
      </left>
      <right style="medium">
        <color rgb="FF000000"/>
      </right>
      <top style="thin">
        <color rgb="FF666666"/>
      </top>
      <bottom/>
      <diagonal/>
    </border>
    <border>
      <left style="thin">
        <color rgb="FFB7B7B7"/>
      </left>
      <right style="thin">
        <color rgb="FFB7B7B7"/>
      </right>
      <top/>
      <bottom style="thin">
        <color rgb="FFB7B7B7"/>
      </bottom>
      <diagonal/>
    </border>
    <border>
      <left style="thin">
        <color rgb="FFB7B7B7"/>
      </left>
      <right style="thin">
        <color rgb="FFB7B7B7"/>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ck">
        <color rgb="FF000000"/>
      </top>
      <bottom style="double">
        <color rgb="FF000000"/>
      </bottom>
      <diagonal/>
    </border>
    <border>
      <left style="thin">
        <color rgb="FF000000"/>
      </left>
      <right style="thin">
        <color rgb="FF000000"/>
      </right>
      <top style="thick">
        <color rgb="FF000000"/>
      </top>
      <bottom style="double">
        <color rgb="FF000000"/>
      </bottom>
      <diagonal/>
    </border>
    <border>
      <left style="thick">
        <color rgb="FF000000"/>
      </left>
      <right style="double">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style="thick">
        <color rgb="FF000000"/>
      </bottom>
      <diagonal/>
    </border>
    <border>
      <left style="thick">
        <color rgb="FF000000"/>
      </left>
      <right style="thin">
        <color rgb="FF000000"/>
      </right>
      <top/>
      <bottom style="double">
        <color rgb="FF000000"/>
      </bottom>
      <diagonal/>
    </border>
    <border>
      <left style="thick">
        <color rgb="FF000000"/>
      </left>
      <right style="thin">
        <color rgb="FF000000"/>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ck">
        <color rgb="FF000000"/>
      </left>
      <right/>
      <top/>
      <bottom/>
      <diagonal/>
    </border>
    <border>
      <left/>
      <right/>
      <top style="thin">
        <color rgb="FF000000"/>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dotted">
        <color rgb="FF000000"/>
      </right>
      <top/>
      <bottom style="dotted">
        <color rgb="FF000000"/>
      </bottom>
      <diagonal/>
    </border>
    <border>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dotted">
        <color rgb="FF000000"/>
      </left>
      <right style="dotted">
        <color rgb="FF000000"/>
      </right>
      <top style="dotted">
        <color rgb="FF000000"/>
      </top>
      <bottom/>
      <diagonal/>
    </border>
    <border>
      <left/>
      <right/>
      <top style="dotted">
        <color rgb="FF000000"/>
      </top>
      <bottom/>
      <diagonal/>
    </border>
    <border>
      <left style="thin">
        <color rgb="FF000000"/>
      </left>
      <right/>
      <top style="dotted">
        <color rgb="FF000000"/>
      </top>
      <bottom/>
      <diagonal/>
    </border>
    <border>
      <left style="thin">
        <color rgb="FF000000"/>
      </left>
      <right style="thin">
        <color rgb="FF000000"/>
      </right>
      <top style="dotted">
        <color rgb="FF000000"/>
      </top>
      <bottom/>
      <diagonal/>
    </border>
    <border>
      <left style="double">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dotted">
        <color rgb="FF000000"/>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style="thin">
        <color auto="1"/>
      </top>
      <bottom/>
      <diagonal/>
    </border>
    <border>
      <left style="thin">
        <color rgb="FF000000"/>
      </left>
      <right/>
      <top style="thin">
        <color indexed="64"/>
      </top>
      <bottom style="thin">
        <color rgb="FF000000"/>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top style="thin">
        <color rgb="FF000000"/>
      </top>
      <bottom/>
      <diagonal/>
    </border>
    <border>
      <left style="thin">
        <color indexed="64"/>
      </left>
      <right/>
      <top/>
      <bottom/>
      <diagonal/>
    </border>
    <border>
      <left/>
      <right style="thin">
        <color indexed="64"/>
      </right>
      <top/>
      <bottom/>
      <diagonal/>
    </border>
    <border>
      <left style="thin">
        <color indexed="64"/>
      </left>
      <right style="thin">
        <color auto="1"/>
      </right>
      <top/>
      <bottom/>
      <diagonal/>
    </border>
    <border>
      <left/>
      <right style="thin">
        <color indexed="64"/>
      </right>
      <top style="thin">
        <color indexed="64"/>
      </top>
      <bottom style="thin">
        <color rgb="FF000000"/>
      </bottom>
      <diagonal/>
    </border>
    <border>
      <left/>
      <right style="thin">
        <color indexed="64"/>
      </right>
      <top style="thin">
        <color rgb="FF000000"/>
      </top>
      <bottom/>
      <diagonal/>
    </border>
    <border>
      <left style="thin">
        <color theme="0" tint="-0.34998626667073579"/>
      </left>
      <right style="thin">
        <color theme="0" tint="-0.34998626667073579"/>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theme="0" tint="-0.34998626667073579"/>
      </left>
      <right style="thin">
        <color theme="0" tint="-0.34998626667073579"/>
      </right>
      <top/>
      <bottom style="thin">
        <color theme="0" tint="-0.34998626667073579"/>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style="thin">
        <color theme="0" tint="-0.34998626667073579"/>
      </right>
      <top/>
      <bottom/>
      <diagonal/>
    </border>
    <border>
      <left/>
      <right style="thin">
        <color rgb="FF000000"/>
      </right>
      <top/>
      <bottom style="thin">
        <color indexed="64"/>
      </bottom>
      <diagonal/>
    </border>
    <border>
      <left style="thin">
        <color theme="0" tint="-0.34998626667073579"/>
      </left>
      <right style="thin">
        <color rgb="FF000000"/>
      </right>
      <top style="thin">
        <color theme="0" tint="-0.34998626667073579"/>
      </top>
      <bottom style="thin">
        <color theme="0" tint="-0.34998626667073579"/>
      </bottom>
      <diagonal/>
    </border>
    <border>
      <left style="thin">
        <color theme="0" tint="-0.34998626667073579"/>
      </left>
      <right style="thin">
        <color rgb="FF000000"/>
      </right>
      <top style="thin">
        <color theme="0" tint="-0.34998626667073579"/>
      </top>
      <bottom/>
      <diagonal/>
    </border>
    <border>
      <left style="thin">
        <color theme="0" tint="-0.34998626667073579"/>
      </left>
      <right style="thin">
        <color rgb="FF000000"/>
      </right>
      <top/>
      <bottom/>
      <diagonal/>
    </border>
    <border>
      <left style="thin">
        <color theme="0" tint="-0.34998626667073579"/>
      </left>
      <right style="thin">
        <color rgb="FF000000"/>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rgb="FF000000"/>
      </top>
      <bottom/>
      <diagonal/>
    </border>
    <border>
      <left style="thin">
        <color rgb="FFB7B7B7"/>
      </left>
      <right style="thin">
        <color rgb="FFB7B7B7"/>
      </right>
      <top style="medium">
        <color rgb="FF000000"/>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theme="0" tint="-0.34998626667073579"/>
      </left>
      <right style="thin">
        <color theme="0" tint="-0.34998626667073579"/>
      </right>
      <top style="thin">
        <color rgb="FF000000"/>
      </top>
      <bottom/>
      <diagonal/>
    </border>
    <border>
      <left style="thin">
        <color rgb="FF000000"/>
      </left>
      <right style="thin">
        <color theme="0" tint="-0.34998626667073579"/>
      </right>
      <top style="thin">
        <color rgb="FF000000"/>
      </top>
      <bottom/>
      <diagonal/>
    </border>
    <border>
      <left style="thin">
        <color rgb="FF000000"/>
      </left>
      <right style="thin">
        <color theme="0" tint="-0.34998626667073579"/>
      </right>
      <top/>
      <bottom/>
      <diagonal/>
    </border>
    <border>
      <left style="thin">
        <color rgb="FF000000"/>
      </left>
      <right style="thin">
        <color theme="0" tint="-0.34998626667073579"/>
      </right>
      <top/>
      <bottom style="thin">
        <color theme="0" tint="-0.34998626667073579"/>
      </bottom>
      <diagonal/>
    </border>
  </borders>
  <cellStyleXfs count="4">
    <xf numFmtId="0" fontId="0" fillId="0" borderId="0"/>
    <xf numFmtId="0" fontId="30" fillId="0" borderId="0"/>
    <xf numFmtId="0" fontId="44" fillId="0" borderId="0" applyNumberFormat="0" applyFill="0" applyBorder="0" applyAlignment="0" applyProtection="0"/>
    <xf numFmtId="43" fontId="15" fillId="0" borderId="0" applyFont="0" applyFill="0" applyBorder="0" applyAlignment="0" applyProtection="0"/>
  </cellStyleXfs>
  <cellXfs count="411">
    <xf numFmtId="0" fontId="0" fillId="0" borderId="0" xfId="0"/>
    <xf numFmtId="0" fontId="1" fillId="0" borderId="0" xfId="0" applyFont="1"/>
    <xf numFmtId="0" fontId="2" fillId="0" borderId="0" xfId="0" applyFont="1"/>
    <xf numFmtId="0" fontId="3" fillId="0" borderId="0" xfId="0" applyFont="1"/>
    <xf numFmtId="0" fontId="4" fillId="3" borderId="1" xfId="0" applyFont="1" applyFill="1" applyBorder="1"/>
    <xf numFmtId="0" fontId="5" fillId="3" borderId="1" xfId="0" applyFont="1" applyFill="1" applyBorder="1"/>
    <xf numFmtId="0" fontId="4" fillId="3" borderId="2" xfId="0" applyFont="1" applyFill="1" applyBorder="1"/>
    <xf numFmtId="0" fontId="6" fillId="0" borderId="3" xfId="0" applyFont="1" applyBorder="1"/>
    <xf numFmtId="0" fontId="7" fillId="0" borderId="4" xfId="0" applyFont="1" applyBorder="1"/>
    <xf numFmtId="0" fontId="6" fillId="0" borderId="4" xfId="0" applyFont="1" applyBorder="1"/>
    <xf numFmtId="0" fontId="6" fillId="0" borderId="5" xfId="0" applyFont="1" applyBorder="1"/>
    <xf numFmtId="0" fontId="6" fillId="0" borderId="6" xfId="0" applyFont="1" applyBorder="1"/>
    <xf numFmtId="0" fontId="7" fillId="0" borderId="7" xfId="0" applyFont="1" applyBorder="1"/>
    <xf numFmtId="0" fontId="6" fillId="0" borderId="7" xfId="0" applyFont="1" applyBorder="1"/>
    <xf numFmtId="0" fontId="6" fillId="0" borderId="8" xfId="0" applyFont="1" applyBorder="1"/>
    <xf numFmtId="0" fontId="6" fillId="0" borderId="9" xfId="0" applyFont="1" applyBorder="1"/>
    <xf numFmtId="0" fontId="7" fillId="0" borderId="10" xfId="0" applyFont="1" applyBorder="1"/>
    <xf numFmtId="0" fontId="6" fillId="0" borderId="10" xfId="0" applyFont="1" applyBorder="1"/>
    <xf numFmtId="0" fontId="6" fillId="0" borderId="11" xfId="0" applyFont="1" applyBorder="1"/>
    <xf numFmtId="0" fontId="6" fillId="0" borderId="12" xfId="0" applyFont="1" applyBorder="1"/>
    <xf numFmtId="0" fontId="1" fillId="0" borderId="0" xfId="0" applyFont="1" applyAlignment="1">
      <alignment vertical="center"/>
    </xf>
    <xf numFmtId="0" fontId="9" fillId="0" borderId="0" xfId="0" applyFont="1" applyAlignment="1">
      <alignment vertical="center"/>
    </xf>
    <xf numFmtId="0" fontId="1" fillId="0" borderId="0" xfId="0" applyFont="1" applyAlignment="1">
      <alignment vertical="center" wrapText="1"/>
    </xf>
    <xf numFmtId="0" fontId="6" fillId="0" borderId="0" xfId="0" applyFont="1" applyAlignment="1">
      <alignment vertical="center"/>
    </xf>
    <xf numFmtId="0" fontId="11" fillId="0" borderId="25" xfId="0" applyFont="1" applyBorder="1"/>
    <xf numFmtId="0" fontId="9" fillId="0" borderId="26" xfId="0" applyFont="1" applyBorder="1"/>
    <xf numFmtId="0" fontId="9" fillId="0" borderId="16" xfId="0" applyFont="1" applyBorder="1"/>
    <xf numFmtId="0" fontId="9" fillId="0" borderId="17" xfId="0" applyFont="1" applyBorder="1"/>
    <xf numFmtId="0" fontId="9" fillId="0" borderId="0" xfId="0" applyFont="1"/>
    <xf numFmtId="0" fontId="1" fillId="4" borderId="15" xfId="0" applyFont="1" applyFill="1" applyBorder="1"/>
    <xf numFmtId="0" fontId="1" fillId="4" borderId="0" xfId="0" applyFont="1" applyFill="1"/>
    <xf numFmtId="0" fontId="1" fillId="0" borderId="14" xfId="0" applyFont="1" applyBorder="1"/>
    <xf numFmtId="0" fontId="12" fillId="2" borderId="0" xfId="0" applyFont="1" applyFill="1" applyAlignment="1">
      <alignment horizontal="left"/>
    </xf>
    <xf numFmtId="0" fontId="6" fillId="0" borderId="18" xfId="0" applyFont="1" applyBorder="1" applyAlignment="1">
      <alignment vertical="center"/>
    </xf>
    <xf numFmtId="0" fontId="1" fillId="0" borderId="15" xfId="0" applyFont="1" applyBorder="1"/>
    <xf numFmtId="0" fontId="1" fillId="0" borderId="22" xfId="0" applyFont="1" applyBorder="1"/>
    <xf numFmtId="0" fontId="1" fillId="0" borderId="21" xfId="0" applyFont="1" applyBorder="1"/>
    <xf numFmtId="0" fontId="1" fillId="0" borderId="20" xfId="0" applyFont="1" applyBorder="1"/>
    <xf numFmtId="0" fontId="1" fillId="0" borderId="15" xfId="0" applyFont="1" applyBorder="1" applyAlignment="1">
      <alignment vertical="center"/>
    </xf>
    <xf numFmtId="0" fontId="1" fillId="5" borderId="15" xfId="0" applyFont="1" applyFill="1" applyBorder="1"/>
    <xf numFmtId="0" fontId="1" fillId="5" borderId="0" xfId="0" applyFont="1" applyFill="1"/>
    <xf numFmtId="0" fontId="13" fillId="5" borderId="15" xfId="0" applyFont="1" applyFill="1" applyBorder="1"/>
    <xf numFmtId="0" fontId="14" fillId="6" borderId="15" xfId="0" applyFont="1" applyFill="1" applyBorder="1"/>
    <xf numFmtId="0" fontId="1" fillId="7" borderId="15" xfId="0" applyFont="1" applyFill="1" applyBorder="1"/>
    <xf numFmtId="0" fontId="1" fillId="8" borderId="0" xfId="0" applyFont="1" applyFill="1"/>
    <xf numFmtId="0" fontId="15" fillId="7" borderId="15" xfId="0" applyFont="1" applyFill="1" applyBorder="1"/>
    <xf numFmtId="0" fontId="1" fillId="7" borderId="0" xfId="0" applyFont="1" applyFill="1"/>
    <xf numFmtId="0" fontId="15" fillId="0" borderId="15" xfId="0" applyFont="1" applyBorder="1" applyAlignment="1">
      <alignment vertical="center"/>
    </xf>
    <xf numFmtId="0" fontId="14" fillId="9" borderId="15" xfId="0" applyFont="1" applyFill="1" applyBorder="1" applyAlignment="1">
      <alignment vertical="center"/>
    </xf>
    <xf numFmtId="0" fontId="1" fillId="10" borderId="15" xfId="0" applyFont="1" applyFill="1" applyBorder="1"/>
    <xf numFmtId="0" fontId="1" fillId="10" borderId="0" xfId="0" applyFont="1" applyFill="1"/>
    <xf numFmtId="0" fontId="6" fillId="0" borderId="0" xfId="0" applyFont="1"/>
    <xf numFmtId="0" fontId="6" fillId="7" borderId="15" xfId="0" applyFont="1" applyFill="1" applyBorder="1"/>
    <xf numFmtId="0" fontId="14" fillId="0" borderId="15" xfId="0" applyFont="1" applyBorder="1" applyAlignment="1">
      <alignment vertical="center"/>
    </xf>
    <xf numFmtId="0" fontId="13" fillId="7" borderId="0" xfId="0" applyFont="1" applyFill="1"/>
    <xf numFmtId="0" fontId="16" fillId="0" borderId="21" xfId="0" applyFont="1" applyBorder="1" applyAlignment="1">
      <alignment vertical="center"/>
    </xf>
    <xf numFmtId="0" fontId="15" fillId="0" borderId="0" xfId="0" applyFont="1"/>
    <xf numFmtId="0" fontId="15" fillId="0" borderId="21" xfId="0" applyFont="1" applyBorder="1"/>
    <xf numFmtId="0" fontId="15" fillId="0" borderId="15" xfId="0" applyFont="1" applyBorder="1"/>
    <xf numFmtId="0" fontId="1" fillId="0" borderId="21" xfId="0" applyFont="1" applyBorder="1" applyAlignment="1">
      <alignment vertical="center"/>
    </xf>
    <xf numFmtId="0" fontId="1" fillId="11" borderId="0" xfId="0" applyFont="1" applyFill="1"/>
    <xf numFmtId="0" fontId="6" fillId="11" borderId="18" xfId="0" applyFont="1" applyFill="1" applyBorder="1" applyAlignment="1">
      <alignment vertical="center"/>
    </xf>
    <xf numFmtId="0" fontId="1" fillId="11" borderId="15" xfId="0" applyFont="1" applyFill="1" applyBorder="1"/>
    <xf numFmtId="0" fontId="1" fillId="0" borderId="27" xfId="0" applyFont="1" applyBorder="1"/>
    <xf numFmtId="0" fontId="14" fillId="0" borderId="21" xfId="0" applyFont="1" applyBorder="1" applyAlignment="1">
      <alignment vertical="center"/>
    </xf>
    <xf numFmtId="0" fontId="6" fillId="0" borderId="27" xfId="0" applyFont="1" applyBorder="1" applyAlignment="1">
      <alignment vertical="center"/>
    </xf>
    <xf numFmtId="0" fontId="1" fillId="0" borderId="28" xfId="0" applyFont="1" applyBorder="1"/>
    <xf numFmtId="0" fontId="1" fillId="0" borderId="29" xfId="0" applyFont="1" applyBorder="1"/>
    <xf numFmtId="0" fontId="1" fillId="0" borderId="30" xfId="0" applyFont="1" applyBorder="1"/>
    <xf numFmtId="0" fontId="1" fillId="0" borderId="31" xfId="0" applyFont="1" applyBorder="1"/>
    <xf numFmtId="0" fontId="16" fillId="0" borderId="15" xfId="0" applyFont="1" applyBorder="1"/>
    <xf numFmtId="0" fontId="1" fillId="0" borderId="29" xfId="0" applyFont="1" applyBorder="1" applyAlignment="1">
      <alignment vertical="center"/>
    </xf>
    <xf numFmtId="0" fontId="15" fillId="0" borderId="0" xfId="0" applyFont="1" applyAlignment="1">
      <alignment vertical="center"/>
    </xf>
    <xf numFmtId="0" fontId="9" fillId="0" borderId="15" xfId="0" applyFont="1" applyBorder="1" applyAlignment="1">
      <alignment vertical="center"/>
    </xf>
    <xf numFmtId="0" fontId="9" fillId="0" borderId="14" xfId="0" applyFont="1" applyBorder="1" applyAlignment="1">
      <alignment vertical="center"/>
    </xf>
    <xf numFmtId="0" fontId="17" fillId="0" borderId="14"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5" fillId="0" borderId="35" xfId="0" applyFont="1" applyBorder="1" applyAlignment="1">
      <alignment vertical="center"/>
    </xf>
    <xf numFmtId="0" fontId="1" fillId="0" borderId="36" xfId="0" applyFont="1" applyBorder="1" applyAlignment="1">
      <alignment vertical="center"/>
    </xf>
    <xf numFmtId="0" fontId="6" fillId="0" borderId="37" xfId="0" applyFont="1" applyBorder="1" applyAlignment="1">
      <alignment vertical="center"/>
    </xf>
    <xf numFmtId="0" fontId="15" fillId="0" borderId="38" xfId="0" applyFont="1" applyBorder="1" applyAlignment="1">
      <alignment vertical="center"/>
    </xf>
    <xf numFmtId="0" fontId="1" fillId="0" borderId="39" xfId="0" applyFont="1" applyBorder="1" applyAlignment="1">
      <alignment vertical="center"/>
    </xf>
    <xf numFmtId="0" fontId="6" fillId="0" borderId="40" xfId="0" applyFont="1" applyBorder="1" applyAlignment="1">
      <alignment vertical="center"/>
    </xf>
    <xf numFmtId="0" fontId="15" fillId="0" borderId="41" xfId="0" applyFont="1" applyBorder="1" applyAlignment="1">
      <alignment vertical="center"/>
    </xf>
    <xf numFmtId="0" fontId="1" fillId="0" borderId="42" xfId="0" applyFont="1" applyBorder="1" applyAlignment="1">
      <alignment vertical="center"/>
    </xf>
    <xf numFmtId="0" fontId="16" fillId="0" borderId="38" xfId="0" applyFont="1" applyBorder="1" applyAlignment="1">
      <alignment vertical="center"/>
    </xf>
    <xf numFmtId="0" fontId="19" fillId="0" borderId="38" xfId="0" applyFont="1" applyBorder="1" applyAlignment="1">
      <alignment horizontal="left" vertical="center"/>
    </xf>
    <xf numFmtId="0" fontId="15" fillId="0" borderId="34" xfId="0" applyFont="1" applyBorder="1" applyAlignment="1">
      <alignment vertical="center"/>
    </xf>
    <xf numFmtId="0" fontId="1" fillId="0" borderId="37" xfId="0" applyFont="1" applyBorder="1" applyAlignment="1">
      <alignment vertical="center"/>
    </xf>
    <xf numFmtId="0" fontId="1" fillId="0" borderId="44" xfId="0" applyFont="1" applyBorder="1" applyAlignment="1">
      <alignment vertical="center"/>
    </xf>
    <xf numFmtId="0" fontId="15" fillId="0" borderId="45" xfId="0" applyFont="1" applyBorder="1" applyAlignment="1">
      <alignment vertical="center"/>
    </xf>
    <xf numFmtId="0" fontId="1" fillId="13" borderId="0" xfId="0" applyFont="1" applyFill="1"/>
    <xf numFmtId="0" fontId="13" fillId="0" borderId="0" xfId="0" applyFont="1"/>
    <xf numFmtId="0" fontId="20" fillId="0" borderId="0" xfId="0" applyFont="1"/>
    <xf numFmtId="0" fontId="6" fillId="0" borderId="46" xfId="0" applyFont="1" applyBorder="1"/>
    <xf numFmtId="49" fontId="1" fillId="0" borderId="0" xfId="0" applyNumberFormat="1" applyFont="1"/>
    <xf numFmtId="0" fontId="6" fillId="15" borderId="15" xfId="0" applyFont="1" applyFill="1" applyBorder="1"/>
    <xf numFmtId="0" fontId="6" fillId="15" borderId="14" xfId="0" applyFont="1" applyFill="1" applyBorder="1" applyAlignment="1">
      <alignment horizontal="center"/>
    </xf>
    <xf numFmtId="0" fontId="6" fillId="15" borderId="47" xfId="0" applyFont="1" applyFill="1" applyBorder="1" applyAlignment="1">
      <alignment horizontal="center"/>
    </xf>
    <xf numFmtId="0" fontId="19" fillId="0" borderId="14" xfId="0" applyFont="1" applyBorder="1"/>
    <xf numFmtId="0" fontId="6" fillId="15" borderId="21" xfId="0" applyFont="1" applyFill="1" applyBorder="1"/>
    <xf numFmtId="0" fontId="19" fillId="0" borderId="22" xfId="0" applyFont="1" applyBorder="1"/>
    <xf numFmtId="0" fontId="6" fillId="0" borderId="22" xfId="0" applyFont="1" applyBorder="1"/>
    <xf numFmtId="0" fontId="6" fillId="0" borderId="49" xfId="0" applyFont="1" applyBorder="1"/>
    <xf numFmtId="0" fontId="6" fillId="0" borderId="30" xfId="0" applyFont="1" applyBorder="1" applyAlignment="1">
      <alignment wrapText="1"/>
    </xf>
    <xf numFmtId="0" fontId="6" fillId="0" borderId="30" xfId="0" applyFont="1" applyBorder="1"/>
    <xf numFmtId="0" fontId="6" fillId="15" borderId="19" xfId="0" applyFont="1" applyFill="1" applyBorder="1"/>
    <xf numFmtId="0" fontId="6" fillId="0" borderId="20" xfId="0" applyFont="1" applyBorder="1"/>
    <xf numFmtId="0" fontId="6" fillId="0" borderId="50" xfId="0" applyFont="1" applyBorder="1"/>
    <xf numFmtId="0" fontId="6" fillId="0" borderId="29" xfId="0" applyFont="1" applyBorder="1"/>
    <xf numFmtId="0" fontId="21" fillId="0" borderId="20" xfId="0" applyFont="1" applyBorder="1" applyAlignment="1">
      <alignment vertical="top" wrapText="1"/>
    </xf>
    <xf numFmtId="0" fontId="6" fillId="0" borderId="50" xfId="0" applyFont="1" applyBorder="1" applyAlignment="1">
      <alignment wrapText="1"/>
    </xf>
    <xf numFmtId="0" fontId="16" fillId="16" borderId="0" xfId="0" applyFont="1" applyFill="1"/>
    <xf numFmtId="0" fontId="14" fillId="9" borderId="0" xfId="0" applyFont="1" applyFill="1"/>
    <xf numFmtId="0" fontId="16" fillId="0" borderId="0" xfId="0" applyFont="1"/>
    <xf numFmtId="14" fontId="1" fillId="0" borderId="0" xfId="0" applyNumberFormat="1" applyFont="1"/>
    <xf numFmtId="0" fontId="1" fillId="0" borderId="0" xfId="0" applyFont="1" applyAlignment="1">
      <alignment horizontal="right"/>
    </xf>
    <xf numFmtId="0" fontId="22" fillId="2" borderId="0" xfId="0" applyFont="1" applyFill="1"/>
    <xf numFmtId="0" fontId="22" fillId="2" borderId="0" xfId="0" applyFont="1" applyFill="1" applyAlignment="1">
      <alignment horizontal="left"/>
    </xf>
    <xf numFmtId="0" fontId="23" fillId="16" borderId="0" xfId="0" applyFont="1" applyFill="1"/>
    <xf numFmtId="0" fontId="24" fillId="16" borderId="0" xfId="0" applyFont="1" applyFill="1" applyAlignment="1">
      <alignment horizontal="left"/>
    </xf>
    <xf numFmtId="0" fontId="23" fillId="0" borderId="0" xfId="0" applyFont="1"/>
    <xf numFmtId="14" fontId="6" fillId="0" borderId="0" xfId="0" applyNumberFormat="1" applyFont="1" applyAlignment="1">
      <alignment horizontal="right"/>
    </xf>
    <xf numFmtId="0" fontId="6" fillId="0" borderId="0" xfId="0" applyFont="1" applyAlignment="1">
      <alignment horizontal="right"/>
    </xf>
    <xf numFmtId="0" fontId="19" fillId="14" borderId="22" xfId="0" applyFont="1" applyFill="1" applyBorder="1"/>
    <xf numFmtId="164" fontId="1" fillId="0" borderId="0" xfId="0" applyNumberFormat="1" applyFont="1"/>
    <xf numFmtId="14" fontId="1" fillId="0" borderId="0" xfId="0" applyNumberFormat="1" applyFont="1" applyAlignment="1">
      <alignment vertical="center"/>
    </xf>
    <xf numFmtId="0" fontId="16" fillId="0" borderId="0" xfId="0" applyFont="1" applyAlignment="1">
      <alignment vertical="center"/>
    </xf>
    <xf numFmtId="0" fontId="1" fillId="0" borderId="0" xfId="0" applyFont="1" applyAlignment="1">
      <alignment horizontal="right" vertical="center"/>
    </xf>
    <xf numFmtId="0" fontId="1" fillId="13" borderId="0" xfId="0" applyFont="1" applyFill="1" applyAlignment="1">
      <alignment vertical="center" wrapText="1"/>
    </xf>
    <xf numFmtId="0" fontId="1" fillId="16" borderId="0" xfId="0" applyFont="1" applyFill="1"/>
    <xf numFmtId="0" fontId="6" fillId="14" borderId="22" xfId="0" applyFont="1" applyFill="1" applyBorder="1"/>
    <xf numFmtId="0" fontId="25" fillId="14" borderId="22" xfId="0" applyFont="1" applyFill="1" applyBorder="1"/>
    <xf numFmtId="0" fontId="2" fillId="0" borderId="0" xfId="0" applyFont="1" applyAlignment="1">
      <alignment horizontal="left"/>
    </xf>
    <xf numFmtId="0" fontId="2" fillId="2" borderId="0" xfId="0" applyFont="1" applyFill="1" applyAlignment="1">
      <alignment horizontal="left" vertical="center"/>
    </xf>
    <xf numFmtId="0" fontId="2" fillId="2" borderId="0" xfId="0" applyFont="1" applyFill="1" applyAlignment="1">
      <alignment horizontal="left"/>
    </xf>
    <xf numFmtId="0" fontId="3" fillId="0" borderId="18" xfId="0" applyFont="1" applyBorder="1" applyAlignment="1">
      <alignment vertical="center"/>
    </xf>
    <xf numFmtId="0" fontId="2" fillId="5" borderId="0" xfId="0" applyFont="1" applyFill="1" applyAlignment="1">
      <alignment horizontal="left"/>
    </xf>
    <xf numFmtId="0" fontId="2" fillId="2" borderId="21" xfId="0" applyFont="1" applyFill="1" applyBorder="1" applyAlignment="1">
      <alignment horizontal="left"/>
    </xf>
    <xf numFmtId="0" fontId="2" fillId="2" borderId="19" xfId="0" applyFont="1" applyFill="1" applyBorder="1" applyAlignment="1">
      <alignment horizontal="left"/>
    </xf>
    <xf numFmtId="0" fontId="3" fillId="0" borderId="27" xfId="0" applyFont="1" applyBorder="1" applyAlignment="1">
      <alignment vertical="center"/>
    </xf>
    <xf numFmtId="0" fontId="3" fillId="0" borderId="27" xfId="0" applyFont="1" applyBorder="1"/>
    <xf numFmtId="0" fontId="3" fillId="0" borderId="31" xfId="0" applyFont="1" applyBorder="1"/>
    <xf numFmtId="0" fontId="3" fillId="0" borderId="32" xfId="0" applyFont="1" applyBorder="1" applyAlignment="1">
      <alignment vertical="center"/>
    </xf>
    <xf numFmtId="0" fontId="3" fillId="0" borderId="37" xfId="0" applyFont="1" applyBorder="1" applyAlignment="1">
      <alignment vertical="center"/>
    </xf>
    <xf numFmtId="0" fontId="3" fillId="0" borderId="0" xfId="0" applyFont="1" applyAlignment="1">
      <alignment vertical="center"/>
    </xf>
    <xf numFmtId="0" fontId="3" fillId="0" borderId="43" xfId="0" applyFont="1" applyBorder="1" applyAlignment="1">
      <alignment vertical="center"/>
    </xf>
    <xf numFmtId="0" fontId="8" fillId="12" borderId="0" xfId="0" applyFont="1" applyFill="1" applyAlignment="1">
      <alignment horizontal="center"/>
    </xf>
    <xf numFmtId="0" fontId="19" fillId="9" borderId="0" xfId="0" applyFont="1" applyFill="1" applyAlignment="1">
      <alignment horizontal="left" wrapText="1"/>
    </xf>
    <xf numFmtId="0" fontId="2" fillId="14" borderId="14" xfId="0" applyFont="1" applyFill="1" applyBorder="1"/>
    <xf numFmtId="0" fontId="2" fillId="14" borderId="22" xfId="0" applyFont="1" applyFill="1" applyBorder="1"/>
    <xf numFmtId="0" fontId="2" fillId="14" borderId="22" xfId="0" applyFont="1" applyFill="1" applyBorder="1" applyAlignment="1">
      <alignment vertical="center"/>
    </xf>
    <xf numFmtId="49" fontId="2" fillId="14" borderId="22" xfId="0" applyNumberFormat="1" applyFont="1" applyFill="1" applyBorder="1"/>
    <xf numFmtId="0" fontId="2" fillId="14" borderId="22" xfId="0" applyFont="1" applyFill="1" applyBorder="1" applyAlignment="1">
      <alignment wrapText="1"/>
    </xf>
    <xf numFmtId="0" fontId="29" fillId="0" borderId="0" xfId="0" applyFont="1"/>
    <xf numFmtId="0" fontId="17" fillId="0" borderId="23" xfId="0" applyFont="1" applyBorder="1" applyAlignment="1">
      <alignment vertical="center"/>
    </xf>
    <xf numFmtId="0" fontId="15" fillId="0" borderId="51" xfId="0" applyFont="1" applyBorder="1" applyAlignment="1">
      <alignment vertical="center"/>
    </xf>
    <xf numFmtId="0" fontId="15" fillId="0" borderId="37" xfId="0" applyFont="1" applyBorder="1" applyAlignment="1">
      <alignment vertical="center"/>
    </xf>
    <xf numFmtId="0" fontId="15" fillId="0" borderId="43" xfId="0" applyFont="1" applyBorder="1" applyAlignment="1">
      <alignment vertical="center"/>
    </xf>
    <xf numFmtId="0" fontId="16" fillId="0" borderId="37" xfId="0" applyFont="1" applyBorder="1" applyAlignment="1">
      <alignment vertical="center"/>
    </xf>
    <xf numFmtId="0" fontId="19" fillId="0" borderId="37" xfId="0" applyFont="1" applyBorder="1" applyAlignment="1">
      <alignment horizontal="left" vertical="center"/>
    </xf>
    <xf numFmtId="0" fontId="31" fillId="0" borderId="0" xfId="1" applyFont="1" applyAlignment="1">
      <alignment vertical="center"/>
    </xf>
    <xf numFmtId="0" fontId="32" fillId="0" borderId="0" xfId="1" applyFont="1" applyAlignment="1">
      <alignment horizontal="center" vertical="center"/>
    </xf>
    <xf numFmtId="0" fontId="34" fillId="0" borderId="0" xfId="1" applyFont="1" applyAlignment="1">
      <alignment horizontal="right" vertical="center"/>
    </xf>
    <xf numFmtId="0" fontId="33" fillId="0" borderId="53" xfId="1" applyFont="1" applyBorder="1" applyAlignment="1">
      <alignment vertical="center"/>
    </xf>
    <xf numFmtId="0" fontId="35" fillId="0" borderId="54" xfId="1" applyFont="1" applyBorder="1" applyAlignment="1">
      <alignment vertical="center"/>
    </xf>
    <xf numFmtId="0" fontId="35" fillId="0" borderId="0" xfId="1" applyFont="1" applyAlignment="1">
      <alignment vertical="center"/>
    </xf>
    <xf numFmtId="0" fontId="36" fillId="0" borderId="0" xfId="1" applyFont="1" applyAlignment="1">
      <alignment vertical="center"/>
    </xf>
    <xf numFmtId="0" fontId="38" fillId="0" borderId="0" xfId="1" applyFont="1" applyAlignment="1">
      <alignment vertical="center"/>
    </xf>
    <xf numFmtId="0" fontId="40" fillId="18" borderId="49" xfId="1" applyFont="1" applyFill="1" applyBorder="1" applyAlignment="1">
      <alignment horizontal="left" vertical="center"/>
    </xf>
    <xf numFmtId="0" fontId="31" fillId="18" borderId="30" xfId="1" applyFont="1" applyFill="1" applyBorder="1" applyAlignment="1">
      <alignment horizontal="left" vertical="center"/>
    </xf>
    <xf numFmtId="0" fontId="31" fillId="18" borderId="21" xfId="1" applyFont="1" applyFill="1" applyBorder="1" applyAlignment="1">
      <alignment horizontal="left" vertical="center"/>
    </xf>
    <xf numFmtId="0" fontId="31" fillId="0" borderId="0" xfId="1" applyFont="1" applyAlignment="1">
      <alignment horizontal="center" vertical="center"/>
    </xf>
    <xf numFmtId="0" fontId="31" fillId="0" borderId="28" xfId="1" applyFont="1" applyBorder="1" applyAlignment="1">
      <alignment vertical="center"/>
    </xf>
    <xf numFmtId="0" fontId="41" fillId="21" borderId="30" xfId="1" applyFont="1" applyFill="1" applyBorder="1" applyAlignment="1">
      <alignment vertical="center"/>
    </xf>
    <xf numFmtId="0" fontId="41" fillId="21" borderId="56" xfId="1" applyFont="1" applyFill="1" applyBorder="1" applyAlignment="1">
      <alignment vertical="center"/>
    </xf>
    <xf numFmtId="0" fontId="33" fillId="21" borderId="53" xfId="1" applyFont="1" applyFill="1" applyBorder="1" applyAlignment="1">
      <alignment horizontal="center" vertical="top" wrapText="1"/>
    </xf>
    <xf numFmtId="0" fontId="33" fillId="21" borderId="53" xfId="1" applyFont="1" applyFill="1" applyBorder="1" applyAlignment="1">
      <alignment horizontal="center" vertical="top"/>
    </xf>
    <xf numFmtId="0" fontId="41" fillId="0" borderId="22" xfId="1" applyFont="1" applyBorder="1" applyAlignment="1">
      <alignment horizontal="left" vertical="top"/>
    </xf>
    <xf numFmtId="0" fontId="41" fillId="0" borderId="53" xfId="1" applyFont="1" applyBorder="1" applyAlignment="1">
      <alignment horizontal="center" vertical="center"/>
    </xf>
    <xf numFmtId="0" fontId="32" fillId="0" borderId="53" xfId="1" applyFont="1" applyBorder="1" applyAlignment="1">
      <alignment horizontal="center" vertical="center"/>
    </xf>
    <xf numFmtId="0" fontId="42" fillId="0" borderId="0" xfId="1" applyFont="1" applyAlignment="1">
      <alignment horizontal="right" vertical="center"/>
    </xf>
    <xf numFmtId="0" fontId="32" fillId="0" borderId="0" xfId="1" applyFont="1" applyAlignment="1">
      <alignment vertical="center"/>
    </xf>
    <xf numFmtId="0" fontId="31" fillId="0" borderId="58" xfId="1" applyFont="1" applyBorder="1" applyAlignment="1">
      <alignment horizontal="left" vertical="center"/>
    </xf>
    <xf numFmtId="0" fontId="41" fillId="21" borderId="22" xfId="1" applyFont="1" applyFill="1" applyBorder="1" applyAlignment="1">
      <alignment horizontal="left" vertical="center"/>
    </xf>
    <xf numFmtId="0" fontId="41" fillId="21" borderId="49" xfId="1" applyFont="1" applyFill="1" applyBorder="1" applyAlignment="1">
      <alignment horizontal="left" vertical="center"/>
    </xf>
    <xf numFmtId="0" fontId="41" fillId="21" borderId="30" xfId="1" applyFont="1" applyFill="1" applyBorder="1" applyAlignment="1">
      <alignment horizontal="left" vertical="center"/>
    </xf>
    <xf numFmtId="0" fontId="41" fillId="0" borderId="49" xfId="1" applyFont="1" applyBorder="1" applyAlignment="1">
      <alignment horizontal="left" vertical="center"/>
    </xf>
    <xf numFmtId="0" fontId="41" fillId="0" borderId="30" xfId="1" applyFont="1" applyBorder="1" applyAlignment="1">
      <alignment horizontal="left" vertical="center"/>
    </xf>
    <xf numFmtId="0" fontId="41" fillId="0" borderId="21" xfId="1" applyFont="1" applyBorder="1" applyAlignment="1">
      <alignment horizontal="left" vertical="center"/>
    </xf>
    <xf numFmtId="0" fontId="41" fillId="0" borderId="83" xfId="1" applyFont="1" applyBorder="1" applyAlignment="1">
      <alignment horizontal="left" vertical="center"/>
    </xf>
    <xf numFmtId="0" fontId="31" fillId="0" borderId="0" xfId="1" applyFont="1" applyAlignment="1">
      <alignment horizontal="left" vertical="center"/>
    </xf>
    <xf numFmtId="0" fontId="31" fillId="0" borderId="23" xfId="1" applyFont="1" applyBorder="1" applyAlignment="1">
      <alignment horizontal="left" vertical="center"/>
    </xf>
    <xf numFmtId="0" fontId="41" fillId="21" borderId="21" xfId="1" applyFont="1" applyFill="1" applyBorder="1" applyAlignment="1">
      <alignment horizontal="left" vertical="center"/>
    </xf>
    <xf numFmtId="0" fontId="30" fillId="0" borderId="81" xfId="1" applyBorder="1" applyAlignment="1">
      <alignment horizontal="center" vertical="top" wrapText="1"/>
    </xf>
    <xf numFmtId="0" fontId="30" fillId="0" borderId="28" xfId="1" applyBorder="1" applyAlignment="1">
      <alignment horizontal="left" vertical="center"/>
    </xf>
    <xf numFmtId="0" fontId="33" fillId="0" borderId="53" xfId="1" applyFont="1" applyBorder="1" applyAlignment="1">
      <alignment vertical="center" wrapText="1"/>
    </xf>
    <xf numFmtId="0" fontId="41" fillId="0" borderId="0" xfId="1" applyFont="1" applyAlignment="1">
      <alignment horizontal="center" vertical="center"/>
    </xf>
    <xf numFmtId="0" fontId="41" fillId="21" borderId="57" xfId="1" applyFont="1" applyFill="1" applyBorder="1" applyAlignment="1">
      <alignment vertical="center"/>
    </xf>
    <xf numFmtId="0" fontId="41" fillId="21" borderId="21" xfId="1" applyFont="1" applyFill="1" applyBorder="1" applyAlignment="1">
      <alignment vertical="center"/>
    </xf>
    <xf numFmtId="0" fontId="33" fillId="21" borderId="89" xfId="1" applyFont="1" applyFill="1" applyBorder="1" applyAlignment="1">
      <alignment horizontal="center" vertical="top" wrapText="1"/>
    </xf>
    <xf numFmtId="0" fontId="30" fillId="0" borderId="92" xfId="1" applyBorder="1" applyAlignment="1">
      <alignment horizontal="center" vertical="top" wrapText="1"/>
    </xf>
    <xf numFmtId="0" fontId="41" fillId="0" borderId="89" xfId="1" applyFont="1" applyBorder="1" applyAlignment="1">
      <alignment horizontal="center" vertical="center"/>
    </xf>
    <xf numFmtId="0" fontId="33" fillId="21" borderId="65" xfId="1" applyFont="1" applyFill="1" applyBorder="1" applyAlignment="1">
      <alignment horizontal="center" vertical="top" wrapText="1"/>
    </xf>
    <xf numFmtId="0" fontId="30" fillId="0" borderId="93" xfId="1" applyBorder="1" applyAlignment="1">
      <alignment horizontal="center" vertical="top" wrapText="1"/>
    </xf>
    <xf numFmtId="0" fontId="41" fillId="0" borderId="65" xfId="1" applyFont="1" applyBorder="1" applyAlignment="1">
      <alignment horizontal="center" vertical="center"/>
    </xf>
    <xf numFmtId="0" fontId="44" fillId="0" borderId="37" xfId="2" applyBorder="1" applyAlignment="1">
      <alignment vertical="center" wrapText="1"/>
    </xf>
    <xf numFmtId="0" fontId="45" fillId="0" borderId="0" xfId="0" applyFont="1"/>
    <xf numFmtId="0" fontId="44" fillId="0" borderId="83" xfId="2" applyBorder="1" applyAlignment="1">
      <alignment horizontal="left" vertical="center"/>
    </xf>
    <xf numFmtId="0" fontId="41" fillId="0" borderId="83" xfId="1" applyFont="1" applyBorder="1" applyAlignment="1">
      <alignment horizontal="left" vertical="center" wrapText="1"/>
    </xf>
    <xf numFmtId="0" fontId="41" fillId="21" borderId="29" xfId="1" applyFont="1" applyFill="1" applyBorder="1" applyAlignment="1">
      <alignment vertical="center"/>
    </xf>
    <xf numFmtId="0" fontId="43" fillId="0" borderId="0" xfId="0" applyFont="1"/>
    <xf numFmtId="0" fontId="44" fillId="0" borderId="83" xfId="2" applyBorder="1" applyAlignment="1">
      <alignment horizontal="left" vertical="center" wrapText="1"/>
    </xf>
    <xf numFmtId="0" fontId="41" fillId="0" borderId="83" xfId="1" quotePrefix="1" applyFont="1" applyBorder="1" applyAlignment="1">
      <alignment horizontal="left" vertical="center"/>
    </xf>
    <xf numFmtId="0" fontId="7" fillId="0" borderId="4" xfId="0" applyFont="1" applyBorder="1" applyAlignment="1">
      <alignment vertical="center"/>
    </xf>
    <xf numFmtId="0" fontId="0" fillId="0" borderId="0" xfId="0" applyAlignment="1">
      <alignment wrapText="1"/>
    </xf>
    <xf numFmtId="0" fontId="51" fillId="0" borderId="0" xfId="0" applyFont="1"/>
    <xf numFmtId="14" fontId="48" fillId="0" borderId="62" xfId="1" applyNumberFormat="1" applyFont="1" applyBorder="1" applyAlignment="1">
      <alignment vertical="center"/>
    </xf>
    <xf numFmtId="16" fontId="0" fillId="0" borderId="0" xfId="0" applyNumberFormat="1"/>
    <xf numFmtId="0" fontId="44" fillId="0" borderId="0" xfId="2"/>
    <xf numFmtId="0" fontId="45" fillId="0" borderId="98" xfId="0" applyFont="1" applyBorder="1" applyAlignment="1">
      <alignment readingOrder="1"/>
    </xf>
    <xf numFmtId="0" fontId="45" fillId="0" borderId="99" xfId="0" applyFont="1" applyBorder="1" applyAlignment="1">
      <alignment readingOrder="1"/>
    </xf>
    <xf numFmtId="43" fontId="24" fillId="21" borderId="96" xfId="3" applyFont="1" applyFill="1" applyBorder="1" applyAlignment="1">
      <alignment readingOrder="1"/>
    </xf>
    <xf numFmtId="0" fontId="2" fillId="21" borderId="97" xfId="0" applyFont="1" applyFill="1" applyBorder="1" applyAlignment="1">
      <alignment readingOrder="1"/>
    </xf>
    <xf numFmtId="0" fontId="45" fillId="21" borderId="97" xfId="0" applyFont="1" applyFill="1" applyBorder="1" applyAlignment="1">
      <alignment readingOrder="1"/>
    </xf>
    <xf numFmtId="0" fontId="6" fillId="0" borderId="95" xfId="0" applyFont="1" applyBorder="1" applyAlignment="1">
      <alignment horizontal="center" vertical="center"/>
    </xf>
    <xf numFmtId="0" fontId="6" fillId="0" borderId="13" xfId="0" applyFont="1" applyBorder="1" applyAlignment="1">
      <alignment horizontal="center" vertical="center"/>
    </xf>
    <xf numFmtId="0" fontId="6" fillId="0" borderId="4" xfId="0" applyFont="1" applyBorder="1" applyAlignment="1">
      <alignment horizontal="center" vertical="center"/>
    </xf>
    <xf numFmtId="0" fontId="41" fillId="0" borderId="84" xfId="1" applyFont="1" applyBorder="1" applyAlignment="1">
      <alignment vertical="center"/>
    </xf>
    <xf numFmtId="0" fontId="41" fillId="0" borderId="30" xfId="1" applyFont="1" applyBorder="1" applyAlignment="1">
      <alignment vertical="center"/>
    </xf>
    <xf numFmtId="0" fontId="41" fillId="0" borderId="82" xfId="1" applyFont="1" applyBorder="1" applyAlignment="1">
      <alignment vertical="center"/>
    </xf>
    <xf numFmtId="0" fontId="41" fillId="0" borderId="49" xfId="1" applyFont="1" applyBorder="1" applyAlignment="1">
      <alignment vertical="center"/>
    </xf>
    <xf numFmtId="0" fontId="41" fillId="0" borderId="21" xfId="1" applyFont="1" applyBorder="1" applyAlignment="1">
      <alignment vertical="center"/>
    </xf>
    <xf numFmtId="0" fontId="41" fillId="0" borderId="49" xfId="1" applyFont="1" applyBorder="1" applyAlignment="1">
      <alignment horizontal="left" vertical="center"/>
    </xf>
    <xf numFmtId="0" fontId="41" fillId="0" borderId="30" xfId="1" applyFont="1" applyBorder="1" applyAlignment="1">
      <alignment horizontal="left" vertical="center"/>
    </xf>
    <xf numFmtId="0" fontId="43" fillId="0" borderId="49" xfId="1" applyFont="1" applyBorder="1" applyAlignment="1">
      <alignment horizontal="left" vertical="center"/>
    </xf>
    <xf numFmtId="0" fontId="30" fillId="0" borderId="30" xfId="1" applyBorder="1" applyAlignment="1">
      <alignment horizontal="left" vertical="center"/>
    </xf>
    <xf numFmtId="0" fontId="30" fillId="0" borderId="30" xfId="1" applyBorder="1" applyAlignment="1">
      <alignment vertical="center"/>
    </xf>
    <xf numFmtId="0" fontId="30" fillId="0" borderId="82" xfId="1" applyBorder="1" applyAlignment="1">
      <alignment vertical="center"/>
    </xf>
    <xf numFmtId="0" fontId="41" fillId="21" borderId="0" xfId="1" applyFont="1" applyFill="1" applyAlignment="1">
      <alignment horizontal="center" vertical="center"/>
    </xf>
    <xf numFmtId="0" fontId="41" fillId="0" borderId="66" xfId="1" applyFont="1" applyBorder="1" applyAlignment="1">
      <alignment vertical="center" wrapText="1"/>
    </xf>
    <xf numFmtId="0" fontId="41" fillId="0" borderId="29" xfId="1" applyFont="1" applyBorder="1" applyAlignment="1">
      <alignment vertical="center"/>
    </xf>
    <xf numFmtId="0" fontId="41" fillId="0" borderId="71" xfId="1" applyFont="1" applyBorder="1" applyAlignment="1">
      <alignment vertical="center"/>
    </xf>
    <xf numFmtId="0" fontId="41" fillId="0" borderId="67" xfId="1" applyFont="1" applyBorder="1" applyAlignment="1">
      <alignment vertical="center"/>
    </xf>
    <xf numFmtId="0" fontId="41" fillId="0" borderId="0" xfId="1" applyFont="1" applyAlignment="1">
      <alignment vertical="center"/>
    </xf>
    <xf numFmtId="0" fontId="41" fillId="0" borderId="68" xfId="1" applyFont="1" applyBorder="1" applyAlignment="1">
      <alignment vertical="center"/>
    </xf>
    <xf numFmtId="0" fontId="41" fillId="0" borderId="85" xfId="1" applyFont="1" applyBorder="1" applyAlignment="1">
      <alignment vertical="center"/>
    </xf>
    <xf numFmtId="0" fontId="41" fillId="0" borderId="28" xfId="1" applyFont="1" applyBorder="1" applyAlignment="1">
      <alignment vertical="center"/>
    </xf>
    <xf numFmtId="0" fontId="41" fillId="0" borderId="86" xfId="1" applyFont="1" applyBorder="1" applyAlignment="1">
      <alignment vertical="center"/>
    </xf>
    <xf numFmtId="0" fontId="41" fillId="0" borderId="67" xfId="1" applyFont="1" applyBorder="1" applyAlignment="1">
      <alignment vertical="center" wrapText="1"/>
    </xf>
    <xf numFmtId="0" fontId="41" fillId="0" borderId="0" xfId="1" applyFont="1" applyAlignment="1">
      <alignment vertical="center" wrapText="1"/>
    </xf>
    <xf numFmtId="0" fontId="41" fillId="0" borderId="85" xfId="1" applyFont="1" applyBorder="1" applyAlignment="1">
      <alignment vertical="center" wrapText="1"/>
    </xf>
    <xf numFmtId="0" fontId="41" fillId="0" borderId="28" xfId="1" applyFont="1" applyBorder="1" applyAlignment="1">
      <alignment vertical="center" wrapText="1"/>
    </xf>
    <xf numFmtId="0" fontId="41" fillId="0" borderId="82" xfId="1" applyFont="1" applyBorder="1" applyAlignment="1">
      <alignment horizontal="left" vertical="center"/>
    </xf>
    <xf numFmtId="0" fontId="41" fillId="0" borderId="50" xfId="1" applyFont="1" applyBorder="1" applyAlignment="1">
      <alignment vertical="center"/>
    </xf>
    <xf numFmtId="0" fontId="41" fillId="0" borderId="19" xfId="1" applyFont="1" applyBorder="1" applyAlignment="1">
      <alignment vertical="center"/>
    </xf>
    <xf numFmtId="0" fontId="41" fillId="0" borderId="29" xfId="1" applyFont="1" applyBorder="1" applyAlignment="1">
      <alignment vertical="center" wrapText="1"/>
    </xf>
    <xf numFmtId="0" fontId="41" fillId="0" borderId="71" xfId="1" applyFont="1" applyBorder="1" applyAlignment="1">
      <alignment vertical="center" wrapText="1"/>
    </xf>
    <xf numFmtId="0" fontId="41" fillId="0" borderId="68" xfId="1" applyFont="1" applyBorder="1" applyAlignment="1">
      <alignment vertical="center" wrapText="1"/>
    </xf>
    <xf numFmtId="0" fontId="41" fillId="0" borderId="86" xfId="1" applyFont="1" applyBorder="1" applyAlignment="1">
      <alignment vertical="center" wrapText="1"/>
    </xf>
    <xf numFmtId="0" fontId="41" fillId="0" borderId="66" xfId="1" applyFont="1" applyBorder="1" applyAlignment="1">
      <alignment horizontal="left" vertical="top" wrapText="1"/>
    </xf>
    <xf numFmtId="0" fontId="41" fillId="0" borderId="29" xfId="1" applyFont="1" applyBorder="1" applyAlignment="1">
      <alignment horizontal="left" vertical="top"/>
    </xf>
    <xf numFmtId="0" fontId="41" fillId="0" borderId="67" xfId="1" applyFont="1" applyBorder="1" applyAlignment="1">
      <alignment horizontal="left" vertical="top"/>
    </xf>
    <xf numFmtId="0" fontId="41" fillId="0" borderId="0" xfId="1" applyFont="1" applyAlignment="1">
      <alignment horizontal="left" vertical="top"/>
    </xf>
    <xf numFmtId="0" fontId="41" fillId="0" borderId="66" xfId="1" applyFont="1" applyBorder="1" applyAlignment="1">
      <alignment horizontal="center" vertical="center"/>
    </xf>
    <xf numFmtId="0" fontId="41" fillId="0" borderId="29" xfId="1" applyFont="1" applyBorder="1" applyAlignment="1">
      <alignment horizontal="center" vertical="center"/>
    </xf>
    <xf numFmtId="0" fontId="41" fillId="0" borderId="71" xfId="1" applyFont="1" applyBorder="1" applyAlignment="1">
      <alignment horizontal="center" vertical="center"/>
    </xf>
    <xf numFmtId="0" fontId="41" fillId="0" borderId="67" xfId="1" applyFont="1" applyBorder="1" applyAlignment="1">
      <alignment horizontal="center" vertical="center"/>
    </xf>
    <xf numFmtId="0" fontId="41" fillId="0" borderId="0" xfId="1" applyFont="1" applyAlignment="1">
      <alignment horizontal="center" vertical="center"/>
    </xf>
    <xf numFmtId="0" fontId="41" fillId="0" borderId="68" xfId="1" applyFont="1" applyBorder="1" applyAlignment="1">
      <alignment horizontal="center" vertical="center"/>
    </xf>
    <xf numFmtId="0" fontId="41" fillId="0" borderId="85" xfId="1" applyFont="1" applyBorder="1" applyAlignment="1">
      <alignment horizontal="center" vertical="center"/>
    </xf>
    <xf numFmtId="0" fontId="41" fillId="0" borderId="28" xfId="1" applyFont="1" applyBorder="1" applyAlignment="1">
      <alignment horizontal="center" vertical="center"/>
    </xf>
    <xf numFmtId="0" fontId="41" fillId="0" borderId="86" xfId="1" applyFont="1" applyBorder="1" applyAlignment="1">
      <alignment horizontal="center" vertical="center"/>
    </xf>
    <xf numFmtId="0" fontId="41" fillId="0" borderId="19" xfId="1" applyFont="1" applyBorder="1" applyAlignment="1">
      <alignment horizontal="center" vertical="center"/>
    </xf>
    <xf numFmtId="0" fontId="41" fillId="0" borderId="23" xfId="1" applyFont="1" applyBorder="1" applyAlignment="1">
      <alignment horizontal="center" vertical="center"/>
    </xf>
    <xf numFmtId="0" fontId="41" fillId="0" borderId="15" xfId="1" applyFont="1" applyBorder="1" applyAlignment="1">
      <alignment horizontal="center" vertical="center"/>
    </xf>
    <xf numFmtId="0" fontId="41" fillId="19" borderId="24" xfId="1" applyFont="1" applyFill="1" applyBorder="1" applyAlignment="1">
      <alignment horizontal="left" vertical="center"/>
    </xf>
    <xf numFmtId="0" fontId="31" fillId="0" borderId="14" xfId="1" applyFont="1" applyBorder="1" applyAlignment="1">
      <alignment horizontal="left" vertical="center"/>
    </xf>
    <xf numFmtId="0" fontId="41" fillId="19" borderId="48" xfId="1" applyFont="1" applyFill="1" applyBorder="1" applyAlignment="1">
      <alignment horizontal="left" vertical="center"/>
    </xf>
    <xf numFmtId="0" fontId="30" fillId="0" borderId="0" xfId="1" applyAlignment="1">
      <alignment horizontal="left" vertical="center"/>
    </xf>
    <xf numFmtId="0" fontId="30" fillId="0" borderId="23" xfId="1" applyBorder="1" applyAlignment="1">
      <alignment horizontal="left" vertical="center"/>
    </xf>
    <xf numFmtId="0" fontId="30" fillId="0" borderId="47" xfId="1" applyBorder="1" applyAlignment="1">
      <alignment horizontal="left" vertical="center"/>
    </xf>
    <xf numFmtId="0" fontId="30" fillId="0" borderId="28" xfId="1" applyBorder="1" applyAlignment="1">
      <alignment horizontal="left" vertical="center"/>
    </xf>
    <xf numFmtId="0" fontId="30" fillId="0" borderId="15" xfId="1" applyBorder="1" applyAlignment="1">
      <alignment horizontal="left" vertical="center"/>
    </xf>
    <xf numFmtId="0" fontId="41" fillId="18" borderId="67" xfId="1" applyFont="1" applyFill="1" applyBorder="1" applyAlignment="1">
      <alignment horizontal="left" vertical="center" wrapText="1"/>
    </xf>
    <xf numFmtId="0" fontId="30" fillId="20" borderId="0" xfId="1" applyFill="1" applyAlignment="1">
      <alignment horizontal="left" vertical="center" wrapText="1"/>
    </xf>
    <xf numFmtId="0" fontId="30" fillId="20" borderId="73" xfId="1" applyFill="1" applyBorder="1" applyAlignment="1">
      <alignment horizontal="left" vertical="center" wrapText="1"/>
    </xf>
    <xf numFmtId="0" fontId="30" fillId="20" borderId="74" xfId="1" applyFill="1" applyBorder="1" applyAlignment="1">
      <alignment horizontal="left" vertical="center" wrapText="1"/>
    </xf>
    <xf numFmtId="0" fontId="41" fillId="18" borderId="69" xfId="1" applyFont="1" applyFill="1" applyBorder="1" applyAlignment="1">
      <alignment horizontal="left" vertical="center" wrapText="1"/>
    </xf>
    <xf numFmtId="0" fontId="30" fillId="20" borderId="76" xfId="1" applyFill="1" applyBorder="1" applyAlignment="1">
      <alignment horizontal="left" vertical="center" wrapText="1"/>
    </xf>
    <xf numFmtId="0" fontId="33" fillId="17" borderId="72" xfId="1" applyFont="1" applyFill="1" applyBorder="1" applyAlignment="1">
      <alignment horizontal="center" vertical="top" wrapText="1"/>
    </xf>
    <xf numFmtId="0" fontId="33" fillId="17" borderId="81" xfId="1" applyFont="1" applyFill="1" applyBorder="1" applyAlignment="1">
      <alignment horizontal="center" vertical="top" wrapText="1"/>
    </xf>
    <xf numFmtId="0" fontId="41" fillId="19" borderId="59" xfId="1" applyFont="1" applyFill="1" applyBorder="1" applyAlignment="1">
      <alignment horizontal="center" vertical="center"/>
    </xf>
    <xf numFmtId="0" fontId="30" fillId="0" borderId="58" xfId="1" applyBorder="1" applyAlignment="1">
      <alignment horizontal="center" vertical="center"/>
    </xf>
    <xf numFmtId="0" fontId="30" fillId="0" borderId="60" xfId="1" applyBorder="1" applyAlignment="1">
      <alignment horizontal="center" vertical="center"/>
    </xf>
    <xf numFmtId="0" fontId="30" fillId="0" borderId="73" xfId="1" applyBorder="1" applyAlignment="1">
      <alignment horizontal="center" vertical="center"/>
    </xf>
    <xf numFmtId="0" fontId="30" fillId="0" borderId="74" xfId="1" applyBorder="1" applyAlignment="1">
      <alignment horizontal="center" vertical="center"/>
    </xf>
    <xf numFmtId="0" fontId="30" fillId="0" borderId="75" xfId="1" applyBorder="1" applyAlignment="1">
      <alignment horizontal="center" vertical="center"/>
    </xf>
    <xf numFmtId="0" fontId="41" fillId="18" borderId="56" xfId="1" applyFont="1" applyFill="1" applyBorder="1" applyAlignment="1">
      <alignment vertical="center"/>
    </xf>
    <xf numFmtId="0" fontId="30" fillId="0" borderId="56" xfId="1" applyBorder="1" applyAlignment="1">
      <alignment vertical="center"/>
    </xf>
    <xf numFmtId="0" fontId="30" fillId="0" borderId="70" xfId="1" applyBorder="1" applyAlignment="1">
      <alignment vertical="center"/>
    </xf>
    <xf numFmtId="0" fontId="41" fillId="19" borderId="66" xfId="1" applyFont="1" applyFill="1" applyBorder="1" applyAlignment="1">
      <alignment horizontal="center" vertical="center"/>
    </xf>
    <xf numFmtId="0" fontId="30" fillId="0" borderId="29" xfId="1" applyBorder="1" applyAlignment="1">
      <alignment horizontal="center" vertical="center"/>
    </xf>
    <xf numFmtId="0" fontId="30" fillId="0" borderId="19" xfId="1" applyBorder="1" applyAlignment="1">
      <alignment horizontal="center" vertical="center"/>
    </xf>
    <xf numFmtId="0" fontId="30" fillId="0" borderId="88" xfId="1" applyBorder="1" applyAlignment="1">
      <alignment horizontal="center" vertical="center"/>
    </xf>
    <xf numFmtId="0" fontId="41" fillId="18" borderId="77" xfId="1" applyFont="1" applyFill="1" applyBorder="1" applyAlignment="1">
      <alignment horizontal="center" vertical="center"/>
    </xf>
    <xf numFmtId="0" fontId="30" fillId="0" borderId="77" xfId="1" applyBorder="1" applyAlignment="1">
      <alignment horizontal="center" vertical="center"/>
    </xf>
    <xf numFmtId="0" fontId="30" fillId="0" borderId="78" xfId="1" applyBorder="1" applyAlignment="1">
      <alignment horizontal="center" vertical="center"/>
    </xf>
    <xf numFmtId="0" fontId="41" fillId="18" borderId="79" xfId="1" applyFont="1" applyFill="1" applyBorder="1" applyAlignment="1">
      <alignment horizontal="center" vertical="center"/>
    </xf>
    <xf numFmtId="0" fontId="30" fillId="0" borderId="80" xfId="1" applyBorder="1" applyAlignment="1">
      <alignment horizontal="center" vertical="center"/>
    </xf>
    <xf numFmtId="0" fontId="34" fillId="17" borderId="53" xfId="1" applyFont="1" applyFill="1" applyBorder="1" applyAlignment="1">
      <alignment horizontal="center" vertical="center"/>
    </xf>
    <xf numFmtId="0" fontId="30" fillId="0" borderId="21" xfId="1" applyBorder="1" applyAlignment="1">
      <alignment horizontal="left" vertical="center"/>
    </xf>
    <xf numFmtId="0" fontId="33" fillId="17" borderId="52" xfId="1" applyFont="1" applyFill="1" applyBorder="1" applyAlignment="1">
      <alignment horizontal="center" vertical="top" wrapText="1"/>
    </xf>
    <xf numFmtId="0" fontId="33" fillId="17" borderId="90" xfId="1" applyFont="1" applyFill="1" applyBorder="1" applyAlignment="1">
      <alignment horizontal="center" vertical="top" wrapText="1"/>
    </xf>
    <xf numFmtId="0" fontId="33" fillId="17" borderId="91" xfId="1" applyFont="1" applyFill="1" applyBorder="1" applyAlignment="1">
      <alignment horizontal="center" vertical="top" wrapText="1"/>
    </xf>
    <xf numFmtId="0" fontId="33" fillId="17" borderId="92" xfId="1" applyFont="1" applyFill="1" applyBorder="1" applyAlignment="1">
      <alignment horizontal="center" vertical="top" wrapText="1"/>
    </xf>
    <xf numFmtId="0" fontId="33" fillId="17" borderId="87" xfId="1" applyFont="1" applyFill="1" applyBorder="1" applyAlignment="1">
      <alignment horizontal="center" vertical="top" wrapText="1"/>
    </xf>
    <xf numFmtId="0" fontId="33" fillId="17" borderId="93" xfId="1" applyFont="1" applyFill="1" applyBorder="1" applyAlignment="1">
      <alignment horizontal="center" vertical="top" wrapText="1"/>
    </xf>
    <xf numFmtId="14" fontId="37" fillId="0" borderId="49" xfId="1" applyNumberFormat="1" applyFont="1" applyBorder="1" applyAlignment="1">
      <alignment horizontal="center" vertical="center"/>
    </xf>
    <xf numFmtId="14" fontId="37" fillId="0" borderId="30" xfId="1" applyNumberFormat="1" applyFont="1" applyBorder="1" applyAlignment="1">
      <alignment horizontal="center" vertical="center"/>
    </xf>
    <xf numFmtId="14" fontId="37" fillId="0" borderId="21" xfId="1" applyNumberFormat="1" applyFont="1" applyBorder="1" applyAlignment="1">
      <alignment horizontal="center" vertical="center"/>
    </xf>
    <xf numFmtId="0" fontId="37" fillId="0" borderId="49" xfId="1" applyFont="1" applyBorder="1" applyAlignment="1">
      <alignment horizontal="center" vertical="center"/>
    </xf>
    <xf numFmtId="0" fontId="37" fillId="0" borderId="21" xfId="1" applyFont="1" applyBorder="1" applyAlignment="1">
      <alignment horizontal="center" vertical="center"/>
    </xf>
    <xf numFmtId="14" fontId="53" fillId="0" borderId="49" xfId="2" applyNumberFormat="1" applyFont="1" applyBorder="1" applyAlignment="1">
      <alignment horizontal="center" vertical="center"/>
    </xf>
    <xf numFmtId="14" fontId="44" fillId="0" borderId="30" xfId="2" applyNumberFormat="1" applyBorder="1" applyAlignment="1">
      <alignment horizontal="center" vertical="center"/>
    </xf>
    <xf numFmtId="0" fontId="34" fillId="17" borderId="89" xfId="1" applyFont="1" applyFill="1" applyBorder="1" applyAlignment="1">
      <alignment horizontal="center" vertical="center"/>
    </xf>
    <xf numFmtId="0" fontId="34" fillId="17" borderId="49" xfId="1" applyFont="1" applyFill="1" applyBorder="1" applyAlignment="1">
      <alignment horizontal="center" vertical="center"/>
    </xf>
    <xf numFmtId="0" fontId="34" fillId="17" borderId="30" xfId="1" applyFont="1" applyFill="1" applyBorder="1" applyAlignment="1">
      <alignment horizontal="center" vertical="center"/>
    </xf>
    <xf numFmtId="0" fontId="30" fillId="0" borderId="72" xfId="1" applyBorder="1" applyAlignment="1">
      <alignment horizontal="center" vertical="top" wrapText="1"/>
    </xf>
    <xf numFmtId="0" fontId="30" fillId="0" borderId="81" xfId="1" applyBorder="1" applyAlignment="1">
      <alignment horizontal="center" vertical="top" wrapText="1"/>
    </xf>
    <xf numFmtId="0" fontId="31" fillId="0" borderId="66" xfId="1" applyFont="1" applyBorder="1" applyAlignment="1">
      <alignment horizontal="left" vertical="center"/>
    </xf>
    <xf numFmtId="0" fontId="31" fillId="0" borderId="29" xfId="1" applyFont="1" applyBorder="1" applyAlignment="1">
      <alignment horizontal="left" vertical="center"/>
    </xf>
    <xf numFmtId="0" fontId="49" fillId="0" borderId="48" xfId="1" applyFont="1" applyBorder="1" applyAlignment="1">
      <alignment horizontal="left" vertical="center" shrinkToFit="1"/>
    </xf>
    <xf numFmtId="0" fontId="31" fillId="0" borderId="0" xfId="1" applyFont="1" applyAlignment="1">
      <alignment horizontal="left" vertical="center" shrinkToFit="1"/>
    </xf>
    <xf numFmtId="0" fontId="31" fillId="0" borderId="85" xfId="1" applyFont="1" applyBorder="1" applyAlignment="1">
      <alignment horizontal="center" vertical="center" shrinkToFit="1"/>
    </xf>
    <xf numFmtId="0" fontId="31" fillId="0" borderId="28" xfId="1" applyFont="1" applyBorder="1" applyAlignment="1">
      <alignment horizontal="center" vertical="center" shrinkToFit="1"/>
    </xf>
    <xf numFmtId="0" fontId="31" fillId="0" borderId="86" xfId="1" applyFont="1" applyBorder="1" applyAlignment="1">
      <alignment horizontal="center" vertical="center" shrinkToFit="1"/>
    </xf>
    <xf numFmtId="0" fontId="39" fillId="0" borderId="85" xfId="1" applyFont="1" applyBorder="1" applyAlignment="1">
      <alignment horizontal="center" vertical="center" shrinkToFit="1"/>
    </xf>
    <xf numFmtId="0" fontId="39" fillId="0" borderId="28" xfId="1" applyFont="1" applyBorder="1" applyAlignment="1">
      <alignment horizontal="center" vertical="center" shrinkToFit="1"/>
    </xf>
    <xf numFmtId="0" fontId="39" fillId="0" borderId="15" xfId="1" applyFont="1" applyBorder="1" applyAlignment="1">
      <alignment horizontal="center" vertical="center" shrinkToFit="1"/>
    </xf>
    <xf numFmtId="0" fontId="31" fillId="0" borderId="49" xfId="1" applyFont="1" applyBorder="1" applyAlignment="1">
      <alignment horizontal="center" vertical="center"/>
    </xf>
    <xf numFmtId="0" fontId="31" fillId="0" borderId="21" xfId="1" applyFont="1" applyBorder="1" applyAlignment="1">
      <alignment vertical="center"/>
    </xf>
    <xf numFmtId="14" fontId="37" fillId="0" borderId="62" xfId="1" applyNumberFormat="1" applyFont="1" applyBorder="1" applyAlignment="1">
      <alignment horizontal="center" vertical="center"/>
    </xf>
    <xf numFmtId="14" fontId="37" fillId="0" borderId="56" xfId="1" applyNumberFormat="1" applyFont="1" applyBorder="1" applyAlignment="1">
      <alignment horizontal="center" vertical="center"/>
    </xf>
    <xf numFmtId="14" fontId="37" fillId="0" borderId="57" xfId="1" applyNumberFormat="1" applyFont="1" applyBorder="1" applyAlignment="1">
      <alignment horizontal="center" vertical="center"/>
    </xf>
    <xf numFmtId="0" fontId="37" fillId="0" borderId="62" xfId="1" applyFont="1" applyBorder="1" applyAlignment="1">
      <alignment horizontal="center" vertical="center"/>
    </xf>
    <xf numFmtId="0" fontId="37" fillId="0" borderId="57" xfId="1" applyFont="1" applyBorder="1" applyAlignment="1">
      <alignment horizontal="center" vertical="center"/>
    </xf>
    <xf numFmtId="14" fontId="48" fillId="0" borderId="62" xfId="1" applyNumberFormat="1" applyFont="1" applyBorder="1" applyAlignment="1">
      <alignment horizontal="center" vertical="center"/>
    </xf>
    <xf numFmtId="14" fontId="48" fillId="0" borderId="56" xfId="1" applyNumberFormat="1" applyFont="1" applyBorder="1" applyAlignment="1">
      <alignment horizontal="center" vertical="center"/>
    </xf>
    <xf numFmtId="0" fontId="33" fillId="17" borderId="94" xfId="1" applyFont="1" applyFill="1" applyBorder="1" applyAlignment="1">
      <alignment horizontal="center" vertical="center"/>
    </xf>
    <xf numFmtId="0" fontId="33" fillId="17" borderId="29" xfId="1" applyFont="1" applyFill="1" applyBorder="1" applyAlignment="1">
      <alignment horizontal="center" vertical="center"/>
    </xf>
    <xf numFmtId="0" fontId="33" fillId="17" borderId="63" xfId="1" applyFont="1" applyFill="1" applyBorder="1" applyAlignment="1">
      <alignment horizontal="center" vertical="center"/>
    </xf>
    <xf numFmtId="0" fontId="33" fillId="17" borderId="64" xfId="1" applyFont="1" applyFill="1" applyBorder="1" applyAlignment="1">
      <alignment horizontal="center" vertical="center"/>
    </xf>
    <xf numFmtId="0" fontId="33" fillId="17" borderId="65" xfId="1" applyFont="1" applyFill="1" applyBorder="1" applyAlignment="1">
      <alignment horizontal="center" vertical="center"/>
    </xf>
    <xf numFmtId="0" fontId="31" fillId="0" borderId="55" xfId="1" applyFont="1" applyBorder="1" applyAlignment="1">
      <alignment horizontal="left" vertical="center" wrapText="1"/>
    </xf>
    <xf numFmtId="0" fontId="31" fillId="0" borderId="56" xfId="1" applyFont="1" applyBorder="1" applyAlignment="1">
      <alignment horizontal="left" vertical="center"/>
    </xf>
    <xf numFmtId="0" fontId="47" fillId="0" borderId="62" xfId="1" applyFont="1" applyBorder="1" applyAlignment="1">
      <alignment horizontal="center" vertical="center"/>
    </xf>
    <xf numFmtId="0" fontId="46" fillId="0" borderId="56" xfId="1" applyFont="1" applyBorder="1" applyAlignment="1">
      <alignment horizontal="center" vertical="center"/>
    </xf>
    <xf numFmtId="0" fontId="31" fillId="0" borderId="59" xfId="1" applyFont="1" applyBorder="1" applyAlignment="1">
      <alignment horizontal="center" vertical="center"/>
    </xf>
    <xf numFmtId="0" fontId="31" fillId="0" borderId="58" xfId="1" applyFont="1" applyBorder="1" applyAlignment="1">
      <alignment horizontal="center" vertical="center"/>
    </xf>
    <xf numFmtId="0" fontId="31" fillId="0" borderId="60" xfId="1" applyFont="1" applyBorder="1" applyAlignment="1">
      <alignment horizontal="center" vertical="center"/>
    </xf>
    <xf numFmtId="0" fontId="31" fillId="0" borderId="61" xfId="1" applyFont="1" applyBorder="1" applyAlignment="1">
      <alignment horizontal="center" vertical="center"/>
    </xf>
    <xf numFmtId="0" fontId="31" fillId="0" borderId="57" xfId="1" applyFont="1" applyBorder="1" applyAlignment="1">
      <alignment vertical="center"/>
    </xf>
    <xf numFmtId="0" fontId="1"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30" fillId="0" borderId="49" xfId="1" applyBorder="1" applyAlignment="1">
      <alignment horizontal="left" vertical="center"/>
    </xf>
    <xf numFmtId="0" fontId="41" fillId="19" borderId="20" xfId="1" applyFont="1" applyFill="1" applyBorder="1" applyAlignment="1">
      <alignment horizontal="left" vertical="center"/>
    </xf>
    <xf numFmtId="0" fontId="41" fillId="19" borderId="14" xfId="1" applyFont="1" applyFill="1" applyBorder="1" applyAlignment="1">
      <alignment horizontal="left" vertical="center"/>
    </xf>
    <xf numFmtId="0" fontId="41" fillId="19" borderId="50" xfId="1" applyFont="1" applyFill="1" applyBorder="1" applyAlignment="1">
      <alignment horizontal="left" vertical="center"/>
    </xf>
    <xf numFmtId="0" fontId="41" fillId="19" borderId="29" xfId="1" applyFont="1" applyFill="1" applyBorder="1" applyAlignment="1">
      <alignment horizontal="left" vertical="center"/>
    </xf>
    <xf numFmtId="0" fontId="41" fillId="19" borderId="19" xfId="1" applyFont="1" applyFill="1" applyBorder="1" applyAlignment="1">
      <alignment horizontal="left" vertical="center"/>
    </xf>
    <xf numFmtId="0" fontId="41" fillId="19" borderId="47" xfId="1" applyFont="1" applyFill="1" applyBorder="1" applyAlignment="1">
      <alignment horizontal="left" vertical="center"/>
    </xf>
    <xf numFmtId="0" fontId="41" fillId="19" borderId="28" xfId="1" applyFont="1" applyFill="1" applyBorder="1" applyAlignment="1">
      <alignment horizontal="left" vertical="center"/>
    </xf>
    <xf numFmtId="0" fontId="41" fillId="19" borderId="15" xfId="1" applyFont="1" applyFill="1" applyBorder="1" applyAlignment="1">
      <alignment horizontal="left" vertical="center"/>
    </xf>
    <xf numFmtId="0" fontId="41" fillId="18" borderId="50" xfId="1" applyFont="1" applyFill="1" applyBorder="1" applyAlignment="1">
      <alignment horizontal="left" vertical="center" wrapText="1"/>
    </xf>
    <xf numFmtId="0" fontId="41" fillId="18" borderId="71" xfId="1" applyFont="1" applyFill="1" applyBorder="1" applyAlignment="1">
      <alignment horizontal="left" vertical="center" wrapText="1"/>
    </xf>
    <xf numFmtId="0" fontId="41" fillId="18" borderId="47" xfId="1" applyFont="1" applyFill="1" applyBorder="1" applyAlignment="1">
      <alignment horizontal="left" vertical="center" wrapText="1"/>
    </xf>
    <xf numFmtId="0" fontId="41" fillId="18" borderId="86" xfId="1" applyFont="1" applyFill="1" applyBorder="1" applyAlignment="1">
      <alignment horizontal="left" vertical="center" wrapText="1"/>
    </xf>
    <xf numFmtId="0" fontId="41" fillId="18" borderId="100" xfId="1" applyFont="1" applyFill="1" applyBorder="1" applyAlignment="1">
      <alignment horizontal="left" vertical="center" wrapText="1"/>
    </xf>
    <xf numFmtId="0" fontId="41" fillId="18" borderId="101" xfId="1" applyFont="1" applyFill="1" applyBorder="1" applyAlignment="1">
      <alignment horizontal="left" vertical="center" wrapText="1"/>
    </xf>
    <xf numFmtId="0" fontId="41" fillId="19" borderId="58" xfId="1" applyFont="1" applyFill="1" applyBorder="1" applyAlignment="1">
      <alignment horizontal="center" vertical="center"/>
    </xf>
    <xf numFmtId="0" fontId="41" fillId="19" borderId="60" xfId="1" applyFont="1" applyFill="1" applyBorder="1" applyAlignment="1">
      <alignment horizontal="center" vertical="center"/>
    </xf>
    <xf numFmtId="0" fontId="41" fillId="19" borderId="85" xfId="1" applyFont="1" applyFill="1" applyBorder="1" applyAlignment="1">
      <alignment horizontal="center" vertical="center"/>
    </xf>
    <xf numFmtId="0" fontId="41" fillId="19" borderId="28" xfId="1" applyFont="1" applyFill="1" applyBorder="1" applyAlignment="1">
      <alignment horizontal="center" vertical="center"/>
    </xf>
    <xf numFmtId="0" fontId="41" fillId="19" borderId="86" xfId="1" applyFont="1" applyFill="1" applyBorder="1" applyAlignment="1">
      <alignment horizontal="center" vertical="center"/>
    </xf>
    <xf numFmtId="0" fontId="41" fillId="18" borderId="55" xfId="1" applyFont="1" applyFill="1" applyBorder="1" applyAlignment="1">
      <alignment vertical="center"/>
    </xf>
    <xf numFmtId="0" fontId="41" fillId="18" borderId="70" xfId="1" applyFont="1" applyFill="1" applyBorder="1" applyAlignment="1">
      <alignment vertical="center"/>
    </xf>
    <xf numFmtId="0" fontId="41" fillId="19" borderId="29" xfId="1" applyFont="1" applyFill="1" applyBorder="1" applyAlignment="1">
      <alignment horizontal="center" vertical="center"/>
    </xf>
    <xf numFmtId="0" fontId="41" fillId="19" borderId="19" xfId="1" applyFont="1" applyFill="1" applyBorder="1" applyAlignment="1">
      <alignment horizontal="center" vertical="center"/>
    </xf>
    <xf numFmtId="0" fontId="41" fillId="19" borderId="67" xfId="1" applyFont="1" applyFill="1" applyBorder="1" applyAlignment="1">
      <alignment horizontal="center" vertical="center"/>
    </xf>
    <xf numFmtId="0" fontId="41" fillId="19" borderId="0" xfId="1" applyFont="1" applyFill="1" applyAlignment="1">
      <alignment horizontal="center" vertical="center"/>
    </xf>
    <xf numFmtId="0" fontId="41" fillId="19" borderId="23" xfId="1" applyFont="1" applyFill="1" applyBorder="1" applyAlignment="1">
      <alignment horizontal="center" vertical="center"/>
    </xf>
    <xf numFmtId="0" fontId="41" fillId="18" borderId="84" xfId="1" applyFont="1" applyFill="1" applyBorder="1" applyAlignment="1">
      <alignment horizontal="center" vertical="center"/>
    </xf>
    <xf numFmtId="0" fontId="41" fillId="18" borderId="30" xfId="1" applyFont="1" applyFill="1" applyBorder="1" applyAlignment="1">
      <alignment horizontal="center" vertical="center"/>
    </xf>
    <xf numFmtId="0" fontId="41" fillId="18" borderId="21" xfId="1" applyFont="1" applyFill="1" applyBorder="1" applyAlignment="1">
      <alignment horizontal="center" vertical="center"/>
    </xf>
    <xf numFmtId="0" fontId="41" fillId="18" borderId="49" xfId="1" applyFont="1" applyFill="1" applyBorder="1" applyAlignment="1">
      <alignment horizontal="center" vertical="center"/>
    </xf>
    <xf numFmtId="0" fontId="41" fillId="18" borderId="82" xfId="1" applyFont="1" applyFill="1" applyBorder="1" applyAlignment="1">
      <alignment horizontal="center" vertical="center"/>
    </xf>
    <xf numFmtId="0" fontId="33" fillId="17" borderId="102" xfId="1" applyFont="1" applyFill="1" applyBorder="1" applyAlignment="1">
      <alignment horizontal="center" vertical="top" wrapText="1"/>
    </xf>
    <xf numFmtId="0" fontId="33" fillId="17" borderId="103" xfId="1" applyFont="1" applyFill="1" applyBorder="1" applyAlignment="1">
      <alignment horizontal="center" vertical="top" wrapText="1"/>
    </xf>
    <xf numFmtId="0" fontId="33" fillId="17" borderId="104" xfId="1" applyFont="1" applyFill="1" applyBorder="1" applyAlignment="1">
      <alignment horizontal="center" vertical="top" wrapText="1"/>
    </xf>
    <xf numFmtId="0" fontId="33" fillId="17" borderId="105" xfId="1" applyFont="1" applyFill="1" applyBorder="1" applyAlignment="1">
      <alignment horizontal="center" vertical="top" wrapText="1"/>
    </xf>
    <xf numFmtId="0" fontId="1" fillId="0" borderId="0" xfId="0" applyFont="1" applyAlignment="1"/>
    <xf numFmtId="0" fontId="0" fillId="0" borderId="0" xfId="0" applyAlignment="1"/>
    <xf numFmtId="0" fontId="19" fillId="0" borderId="24" xfId="0" applyFont="1" applyBorder="1" applyAlignment="1"/>
    <xf numFmtId="0" fontId="19" fillId="0" borderId="48" xfId="0" applyFont="1" applyBorder="1" applyAlignment="1"/>
    <xf numFmtId="0" fontId="10" fillId="0" borderId="24" xfId="0" applyFont="1" applyBorder="1" applyAlignment="1"/>
    <xf numFmtId="0" fontId="10" fillId="0" borderId="48" xfId="0" applyFont="1" applyBorder="1" applyAlignment="1"/>
    <xf numFmtId="0" fontId="10" fillId="0" borderId="14" xfId="0" applyFont="1" applyBorder="1" applyAlignment="1"/>
    <xf numFmtId="0" fontId="10" fillId="0" borderId="47" xfId="0" applyFont="1" applyBorder="1" applyAlignment="1"/>
  </cellXfs>
  <cellStyles count="4">
    <cellStyle name="Comma" xfId="3" builtinId="3"/>
    <cellStyle name="Hyperlink" xfId="2" builtinId="8"/>
    <cellStyle name="Normal" xfId="0" builtinId="0"/>
    <cellStyle name="標準 3" xfId="1" xr:uid="{C171E46E-933B-45CA-9CED-8856584A190E}"/>
  </cellStyles>
  <dxfs count="7">
    <dxf>
      <fill>
        <patternFill>
          <bgColor theme="7" tint="0.79998168889431442"/>
        </patternFill>
      </fill>
    </dxf>
    <dxf>
      <fill>
        <patternFill>
          <bgColor theme="7" tint="0.79998168889431442"/>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5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524;&#12540;&#12473;&#19968;&#35239;"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524;&#12540;&#12473;&#19968;&#35239;%20%3e%20&#12501;&#12449;&#12540;&#12473;&#12488;&#12499;&#12517;&#12540;(&#27880;&#30446;&#12524;&#12540;&#12473;)"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2524;&#12540;&#12473;&#19968;&#35239;%20%3e%20&#12450;&#12521;&#12540;&#12488;&#24773;&#22577;"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2524;&#12540;&#12473;&#19968;&#35239;%20%3e%20&#37325;&#36062;&#19968;&#35239;"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524;&#12540;&#12473;&#35443;&#32048;%20"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524;&#12540;&#12473;&#35443;&#32048;%20%3e%20&#12504;&#12483;&#12480;&#12540;"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2524;&#12540;&#12473;&#35443;&#32048;%20%3e%20&#20986;&#39340;&#34920;"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2524;&#12540;&#12473;&#35443;&#32048;%20%3e%20&#20986;&#39340;&#34920;%20%3e%20&#12459;&#12473;&#12479;&#12512;&#20986;&#39340;&#34920;"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524;&#12540;&#12473;&#35443;&#32048;%20%3e%20&#20986;&#39340;&#34920;%20%3e%20&#12459;&#12473;&#12479;&#12512;&#20986;&#39340;&#34920;%20%3e%20&#34920;&#31034;&#35373;&#23450;"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2524;&#12540;&#12473;&#35443;&#32048;%20%3e%20&#20986;&#39340;&#34920;%20%3e%20&#12415;&#12435;&#12394;&#12398;&#20104;&#24819;"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2524;&#12540;&#12473;&#35443;&#32048;%20%3e%20&#20986;&#39340;&#34920;%20%3e%20&#12458;&#12483;&#12474;&#215;&#25351;&#25968;&#20998;&#24067;&#22259;"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2524;&#12540;&#12473;&#35443;&#32048;&#12539;&#12524;&#12540;&#12473;&#12513;&#12514;"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2524;&#12540;&#12473;&#35443;&#32048;&#12539;&#39340;&#12513;&#12514;"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2524;&#12540;&#12473;&#35443;&#32048;%20%3e%20&#20986;&#39340;&#34920;%20%3e%20MY&#39340;&#30331;&#37682;&#12514;&#12540;&#12480;&#12523;"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2524;&#12540;&#12473;&#35443;&#32048;%20%3e%20&#20986;&#39340;&#34920;%20%3e%20MY&#39438;&#25163;&#30331;&#37682;&#12514;&#12540;&#12480;&#12523;"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2524;&#12540;&#12473;&#35443;&#32048;%20%3e%20&#20986;&#39340;&#34920;%20%3e%20&#12524;&#12540;&#12473;&#20104;&#24819;&#20837;&#21147;&#29992;&#12514;&#12540;&#12480;&#12523;%20"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2524;&#12540;&#12473;&#35443;&#32048;%20%3e%20&#20986;&#39340;&#34920;%20%3e%20&#26368;&#32066;&#12467;&#12540;&#12490;&#12540;&#23637;&#38283;MY&#20104;&#24819;&#12514;&#12540;&#12480;&#12523;"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2524;&#12540;&#12473;&#19968;&#35239;%20%3e%20&#26465;&#20214;&#32094;&#12426;&#36796;&#12415;&#12514;&#12540;&#12480;&#12523;"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0849;&#36890;&#12514;&#12540;&#12480;&#12523;&#12539;&#21360;&#12513;&#1251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一覧"/>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一覧 &gt; ファーストビュー(注目レース)"/>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一覧 &gt; アラート情報"/>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一覧 &gt; 重賞一覧"/>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ヘッダー"/>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カスタム出馬表"/>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カスタム出馬表 &gt; 表示設定"/>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みんなの予想"/>
    </sheetNames>
    <sheetDataSet>
      <sheetData sheetId="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オッズ×指数分布図"/>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レースメモ"/>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馬メモ"/>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MY馬登録モーダル"/>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MY騎手登録モーダル"/>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レース予想入力用モーダル "/>
    </sheetNames>
    <sheetDataSet>
      <sheetData sheetId="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詳細 &gt; 出馬表 &gt; 最終コーナー展開MY予想モーダル"/>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ース一覧 &gt; 条件絞り込みモーダル"/>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モーダル・印メモ"/>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Nguyễn Trung Hiếu" id="{2E54839E-1D96-4271-8846-36104C2BC6A8}" userId="S::hieu.nguyen2@tomosia.com::8b622162-a92b-425b-acaa-8f5b6b069d8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12" dT="2025-09-22T20:05:41.81" personId="{2E54839E-1D96-4271-8846-36104C2BC6A8}" id="{901C9826-DD8A-44A0-92B0-D461104D23EB}">
    <text xml:space="preserve"> Giữ nguyên mã task cũ đã sửa ( nếu có ), viết mã task mới vào dưới</text>
  </threadedComment>
</ThreadedComments>
</file>

<file path=xl/threadedComments/threadedComment2.xml><?xml version="1.0" encoding="utf-8"?>
<ThreadedComments xmlns="http://schemas.microsoft.com/office/spreadsheetml/2018/threadedcomments" xmlns:x="http://schemas.openxmlformats.org/spreadsheetml/2006/main">
  <threadedComment ref="AE12" dT="2025-09-22T20:05:41.81" personId="{2E54839E-1D96-4271-8846-36104C2BC6A8}" id="{C02A32CC-334C-4F95-99CE-7C34E8AC6B9D}">
    <text xml:space="preserve"> Giữ nguyên mã task cũ đã sửa ( nếu có ), viết mã task mới vào dưới</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datatracker.ietf.org/doc/html/rfc723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google.com/spreadsheets/d/1Tgditq8L7fZ83OGAyt3XkPv12YMhppHPNw_Cq68UQBw/edit?gid=1294591345" TargetMode="External"/><Relationship Id="rId2" Type="http://schemas.openxmlformats.org/officeDocument/2006/relationships/hyperlink" Target="https://github.com/glad-cube/spaia-playground/tree/add_renewal_proto" TargetMode="External"/><Relationship Id="rId1" Type="http://schemas.openxmlformats.org/officeDocument/2006/relationships/hyperlink" Target="http://spaia-keiba.com/api/v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hyperlink" Target="https://docs.google.com/spreadsheets/d/1Tgditq8L7fZ83OGAyt3XkPv12YMhppHPNw_Cq68UQBw/edit?gid=1294591345" TargetMode="External"/><Relationship Id="rId2" Type="http://schemas.openxmlformats.org/officeDocument/2006/relationships/hyperlink" Target="https://github.com/glad-cube/spaia-playground/tree/add_renewal_proto" TargetMode="External"/><Relationship Id="rId1" Type="http://schemas.openxmlformats.org/officeDocument/2006/relationships/hyperlink" Target="http://spaia-keiba.com/api/v2/"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tomosiavn.sharepoint.com/:x:/r/sites/hn-unit-Frontend/Shared%20Documents/Frontend/02.%20T%C3%A0i%20li%E1%BB%87u%20l%C3%A0m%20vi%E1%BB%87c/01.%20%5BFE-BE%5D%20T%C3%A0i%20li%E1%BB%87u%20l%C3%A0m%20vi%E1%BB%87c%20v%E1%BB%9Bi%20Backend/API%20Document.xlsx?d=wc2137481f71d49888f506caea14a3226&amp;csf=1&amp;web=1&amp;e=dj7Rpa&amp;nav=MTJfQTFfe0I0MUFFRDcwLTFCQTYtNDYwRS1BQ0ExLTY5ODY5QTlEOTk2Rn0"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glad-cube/spaia-playground/blob/f1e3abb767cc5e5ac8d79e704c7be60a7708e2be/keiba-renewal-proto/back/fastify/src/schema/raceList/myFilterCondition.ts" TargetMode="External"/><Relationship Id="rId2" Type="http://schemas.openxmlformats.org/officeDocument/2006/relationships/hyperlink" Target="https://jra.jp/keiba/overseas/yougo/w69.html" TargetMode="External"/><Relationship Id="rId1" Type="http://schemas.openxmlformats.org/officeDocument/2006/relationships/hyperlink" Target="https://jra.jp/keiba/overseas/yougo/w288.html"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hyperlink" Target="https://github.com/glad-cube/spaia-playground/blob/f1e3abb767cc5e5ac8d79e704c7be60a7708e2be/keiba-renewal-proto/back/fastify/src/schema/raceList/myFilterCondition.ts" TargetMode="Externa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C39"/>
  <sheetViews>
    <sheetView topLeftCell="A8" workbookViewId="0">
      <selection activeCell="G31" sqref="G31"/>
    </sheetView>
  </sheetViews>
  <sheetFormatPr defaultColWidth="12.5703125" defaultRowHeight="15.75" customHeight="1"/>
  <cols>
    <col min="4" max="4" width="16.140625" customWidth="1"/>
    <col min="5" max="5" width="18.7109375" customWidth="1"/>
  </cols>
  <sheetData>
    <row r="3" spans="1:2" ht="15.75" customHeight="1">
      <c r="A3" s="217" t="s">
        <v>0</v>
      </c>
    </row>
    <row r="4" spans="1:2" ht="27" customHeight="1">
      <c r="B4" s="217" t="s">
        <v>1</v>
      </c>
    </row>
    <row r="5" spans="1:2" ht="31.5" customHeight="1">
      <c r="B5" s="217" t="s">
        <v>2</v>
      </c>
    </row>
    <row r="6" spans="1:2" ht="27" customHeight="1">
      <c r="B6" s="217" t="s">
        <v>3</v>
      </c>
    </row>
    <row r="7" spans="1:2" ht="12.75">
      <c r="B7" s="1"/>
    </row>
    <row r="8" spans="1:2" ht="12.75">
      <c r="B8" s="1"/>
    </row>
    <row r="9" spans="1:2" ht="12.75">
      <c r="B9" s="1"/>
    </row>
    <row r="10" spans="1:2" ht="12.75">
      <c r="B10" s="1"/>
    </row>
    <row r="11" spans="1:2" ht="15.75" customHeight="1">
      <c r="A11" s="217" t="s">
        <v>4</v>
      </c>
    </row>
    <row r="12" spans="1:2" ht="12.75">
      <c r="B12" s="2"/>
    </row>
    <row r="13" spans="1:2" ht="15.75" customHeight="1">
      <c r="B13" t="s">
        <v>5</v>
      </c>
    </row>
    <row r="14" spans="1:2" ht="15.75" customHeight="1">
      <c r="B14" t="s">
        <v>6</v>
      </c>
    </row>
    <row r="15" spans="1:2" ht="12.75">
      <c r="B15" t="s">
        <v>7</v>
      </c>
    </row>
    <row r="16" spans="1:2" ht="12.75">
      <c r="B16" t="s">
        <v>8</v>
      </c>
    </row>
    <row r="17" spans="1:3" ht="12.75">
      <c r="B17" s="3"/>
    </row>
    <row r="18" spans="1:3" ht="12.75">
      <c r="A18" s="217" t="s">
        <v>9</v>
      </c>
      <c r="B18" s="3"/>
    </row>
    <row r="19" spans="1:3" ht="12.75">
      <c r="B19" t="s">
        <v>10</v>
      </c>
    </row>
    <row r="20" spans="1:3" ht="15.75" customHeight="1">
      <c r="B20" t="s">
        <v>11</v>
      </c>
    </row>
    <row r="21" spans="1:3" ht="15.75" customHeight="1">
      <c r="B21" t="s">
        <v>12</v>
      </c>
    </row>
    <row r="22" spans="1:3" ht="25.5">
      <c r="B22" s="216" t="s">
        <v>13</v>
      </c>
    </row>
    <row r="23" spans="1:3" ht="29.25" customHeight="1">
      <c r="C23" s="219" t="s">
        <v>14</v>
      </c>
    </row>
    <row r="24" spans="1:3" ht="29.25" customHeight="1">
      <c r="B24" s="1"/>
      <c r="C24" s="1" t="s">
        <v>15</v>
      </c>
    </row>
    <row r="25" spans="1:3" ht="37.5" customHeight="1">
      <c r="B25" s="1"/>
      <c r="C25" s="1" t="s">
        <v>16</v>
      </c>
    </row>
    <row r="26" spans="1:3" ht="12.75">
      <c r="B26" s="1" t="s">
        <v>17</v>
      </c>
      <c r="C26" s="1"/>
    </row>
    <row r="28" spans="1:3">
      <c r="B28" s="1"/>
    </row>
    <row r="29" spans="1:3" ht="15.75" customHeight="1">
      <c r="A29" s="217" t="s">
        <v>18</v>
      </c>
    </row>
    <row r="31" spans="1:3" ht="12.75">
      <c r="B31" s="220" t="s">
        <v>19</v>
      </c>
      <c r="C31" s="1"/>
    </row>
    <row r="32" spans="1:3">
      <c r="B32" s="1"/>
      <c r="C32" s="1"/>
    </row>
    <row r="33" spans="2:3">
      <c r="B33" s="1"/>
      <c r="C33" s="1"/>
    </row>
    <row r="34" spans="2:3">
      <c r="B34" s="1"/>
      <c r="C34" s="1"/>
    </row>
    <row r="35" spans="2:3">
      <c r="B35" s="1"/>
    </row>
    <row r="37" spans="2:3">
      <c r="B37" s="1"/>
    </row>
    <row r="38" spans="2:3">
      <c r="B38" s="1"/>
    </row>
    <row r="39" spans="2:3">
      <c r="B39" s="1"/>
    </row>
  </sheetData>
  <hyperlinks>
    <hyperlink ref="B31" r:id="rId1" location="section-6.5.1" display="https://datatracker.ietf.org/doc/html/rfc7231#section-6.5.1" xr:uid="{392CBFBF-412D-4DA4-BCDB-053C41CF0094}"/>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6"/>
  <sheetViews>
    <sheetView topLeftCell="B1" workbookViewId="0">
      <selection activeCell="D22" sqref="D22"/>
    </sheetView>
  </sheetViews>
  <sheetFormatPr defaultColWidth="12.5703125" defaultRowHeight="15.75" customHeight="1"/>
  <cols>
    <col min="2" max="2" width="18.42578125" customWidth="1"/>
    <col min="3" max="3" width="26.85546875" customWidth="1"/>
    <col min="4" max="4" width="43.5703125" customWidth="1"/>
    <col min="5" max="5" width="26.85546875" customWidth="1"/>
    <col min="6" max="6" width="27.7109375" customWidth="1"/>
    <col min="7" max="7" width="34.42578125" customWidth="1"/>
  </cols>
  <sheetData>
    <row r="1" spans="1:6" ht="12.75">
      <c r="A1" s="1" t="s">
        <v>20</v>
      </c>
    </row>
    <row r="2" spans="1:6" ht="12.75">
      <c r="B2" s="4" t="s">
        <v>21</v>
      </c>
      <c r="C2" s="5" t="s">
        <v>22</v>
      </c>
      <c r="D2" s="4" t="s">
        <v>22</v>
      </c>
      <c r="E2" s="4" t="s">
        <v>23</v>
      </c>
      <c r="F2" s="6" t="s">
        <v>24</v>
      </c>
    </row>
    <row r="3" spans="1:6" ht="12.75" hidden="1">
      <c r="B3" s="7" t="s">
        <v>25</v>
      </c>
      <c r="C3" s="8" t="s">
        <v>26</v>
      </c>
      <c r="D3" s="8" t="s">
        <v>27</v>
      </c>
      <c r="E3" s="9"/>
      <c r="F3" s="10"/>
    </row>
    <row r="4" spans="1:6" ht="12.75" hidden="1">
      <c r="B4" s="11"/>
      <c r="C4" s="12" t="s">
        <v>28</v>
      </c>
      <c r="D4" s="12" t="s">
        <v>29</v>
      </c>
      <c r="E4" s="13"/>
      <c r="F4" s="14"/>
    </row>
    <row r="5" spans="1:6" ht="12.75" hidden="1">
      <c r="B5" s="11"/>
      <c r="C5" s="12" t="s">
        <v>30</v>
      </c>
      <c r="D5" s="12" t="s">
        <v>31</v>
      </c>
      <c r="E5" s="13"/>
      <c r="F5" s="14"/>
    </row>
    <row r="6" spans="1:6" ht="12.75" hidden="1">
      <c r="B6" s="11"/>
      <c r="C6" s="12" t="s">
        <v>32</v>
      </c>
      <c r="D6" s="12" t="s">
        <v>33</v>
      </c>
      <c r="E6" s="13"/>
      <c r="F6" s="14"/>
    </row>
    <row r="7" spans="1:6" ht="12.75" hidden="1">
      <c r="B7" s="11"/>
      <c r="C7" s="12" t="s">
        <v>34</v>
      </c>
      <c r="D7" s="12" t="s">
        <v>35</v>
      </c>
      <c r="E7" s="13"/>
      <c r="F7" s="14"/>
    </row>
    <row r="8" spans="1:6" ht="12.75" hidden="1">
      <c r="B8" s="11"/>
      <c r="C8" s="12" t="s">
        <v>36</v>
      </c>
      <c r="D8" s="13" t="s">
        <v>37</v>
      </c>
      <c r="E8" s="13"/>
      <c r="F8" s="14"/>
    </row>
    <row r="9" spans="1:6" ht="12.75" hidden="1">
      <c r="B9" s="11"/>
      <c r="C9" s="12" t="s">
        <v>38</v>
      </c>
      <c r="D9" s="12" t="s">
        <v>39</v>
      </c>
      <c r="E9" s="13"/>
      <c r="F9" s="14"/>
    </row>
    <row r="10" spans="1:6" ht="12.75" hidden="1">
      <c r="B10" s="11"/>
      <c r="C10" s="12" t="s">
        <v>40</v>
      </c>
      <c r="D10" s="12" t="s">
        <v>41</v>
      </c>
      <c r="E10" s="13"/>
      <c r="F10" s="14"/>
    </row>
    <row r="11" spans="1:6" ht="12.75" hidden="1">
      <c r="B11" s="11"/>
      <c r="C11" s="12" t="s">
        <v>42</v>
      </c>
      <c r="D11" s="12" t="s">
        <v>43</v>
      </c>
      <c r="E11" s="13"/>
      <c r="F11" s="14"/>
    </row>
    <row r="12" spans="1:6" ht="12.75" hidden="1">
      <c r="B12" s="15"/>
      <c r="C12" s="16" t="s">
        <v>44</v>
      </c>
      <c r="D12" s="16" t="s">
        <v>45</v>
      </c>
      <c r="E12" s="17"/>
      <c r="F12" s="18"/>
    </row>
    <row r="13" spans="1:6" ht="12.75">
      <c r="B13" s="226" t="s">
        <v>46</v>
      </c>
      <c r="C13" s="8" t="s">
        <v>46</v>
      </c>
      <c r="D13" s="8" t="s">
        <v>26</v>
      </c>
      <c r="E13" s="8"/>
      <c r="F13" s="8"/>
    </row>
    <row r="14" spans="1:6" ht="12.75">
      <c r="B14" s="227"/>
      <c r="C14" s="8" t="s">
        <v>47</v>
      </c>
      <c r="D14" s="9" t="s">
        <v>28</v>
      </c>
      <c r="E14" s="9"/>
      <c r="F14" s="9"/>
    </row>
    <row r="15" spans="1:6" ht="12.75">
      <c r="B15" s="227"/>
      <c r="C15" s="215" t="s">
        <v>48</v>
      </c>
      <c r="D15" s="9" t="s">
        <v>30</v>
      </c>
      <c r="E15" s="19"/>
      <c r="F15" s="9"/>
    </row>
    <row r="16" spans="1:6" ht="12.75">
      <c r="B16" s="228"/>
      <c r="C16" s="8" t="s">
        <v>49</v>
      </c>
      <c r="D16" s="9" t="s">
        <v>32</v>
      </c>
      <c r="E16" s="9"/>
      <c r="F16" s="9"/>
    </row>
  </sheetData>
  <mergeCells count="1">
    <mergeCell ref="B13:B16"/>
  </mergeCell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9"/>
  <sheetViews>
    <sheetView workbookViewId="0">
      <pane xSplit="2" ySplit="4" topLeftCell="C5" activePane="bottomRight" state="frozen"/>
      <selection pane="bottomRight" activeCell="C5" sqref="C5"/>
      <selection pane="bottomLeft" activeCell="A5" sqref="A5"/>
      <selection pane="topRight" activeCell="C1" sqref="C1"/>
    </sheetView>
  </sheetViews>
  <sheetFormatPr defaultColWidth="12.5703125" defaultRowHeight="15.75" customHeight="1"/>
  <cols>
    <col min="2" max="2" width="47" customWidth="1"/>
    <col min="3" max="3" width="29.7109375" customWidth="1"/>
    <col min="4" max="4" width="82.85546875" customWidth="1"/>
    <col min="5" max="9" width="12.7109375" customWidth="1"/>
    <col min="10" max="10" width="31" customWidth="1"/>
    <col min="11" max="11" width="31.28515625" customWidth="1"/>
    <col min="12" max="13" width="25.42578125" customWidth="1"/>
    <col min="14" max="14" width="44" customWidth="1"/>
    <col min="15" max="15" width="18.85546875" customWidth="1"/>
    <col min="16" max="16" width="19" customWidth="1"/>
  </cols>
  <sheetData>
    <row r="1" spans="1:16">
      <c r="A1" s="136"/>
      <c r="B1" s="3" t="s">
        <v>50</v>
      </c>
    </row>
    <row r="2" spans="1:16">
      <c r="B2" s="3" t="s">
        <v>51</v>
      </c>
    </row>
    <row r="3" spans="1:16">
      <c r="B3" s="24" t="s">
        <v>52</v>
      </c>
    </row>
    <row r="4" spans="1:16">
      <c r="B4" s="25" t="s">
        <v>53</v>
      </c>
      <c r="C4" s="26" t="s">
        <v>54</v>
      </c>
      <c r="D4" s="26" t="s">
        <v>55</v>
      </c>
      <c r="E4" s="26" t="s">
        <v>56</v>
      </c>
      <c r="F4" s="26" t="s">
        <v>57</v>
      </c>
      <c r="G4" s="26" t="s">
        <v>58</v>
      </c>
      <c r="H4" s="26" t="s">
        <v>59</v>
      </c>
      <c r="I4" s="26" t="s">
        <v>60</v>
      </c>
      <c r="J4" s="27" t="s">
        <v>61</v>
      </c>
      <c r="K4" s="28" t="s">
        <v>62</v>
      </c>
      <c r="L4" s="28" t="s">
        <v>63</v>
      </c>
      <c r="M4" s="28" t="s">
        <v>64</v>
      </c>
      <c r="N4" s="28" t="s">
        <v>65</v>
      </c>
      <c r="O4" s="1" t="s">
        <v>66</v>
      </c>
      <c r="P4" s="1" t="s">
        <v>67</v>
      </c>
    </row>
    <row r="5" spans="1:16">
      <c r="B5" s="137" t="s">
        <v>68</v>
      </c>
      <c r="C5" s="1" t="s">
        <v>69</v>
      </c>
      <c r="D5" s="29" t="s">
        <v>70</v>
      </c>
      <c r="E5" s="1" t="s">
        <v>71</v>
      </c>
      <c r="F5" s="1" t="s">
        <v>71</v>
      </c>
      <c r="G5" s="1" t="s">
        <v>71</v>
      </c>
      <c r="H5" s="30"/>
      <c r="I5" s="30"/>
      <c r="J5" s="31" t="s">
        <v>72</v>
      </c>
      <c r="K5" s="136" t="s">
        <v>73</v>
      </c>
      <c r="L5" s="1" t="s">
        <v>74</v>
      </c>
      <c r="M5" s="1" t="s">
        <v>74</v>
      </c>
      <c r="N5" s="136" t="s">
        <v>75</v>
      </c>
      <c r="O5" s="1">
        <f t="shared" ref="O5:O18" si="0">COUNTIF($D:$D,D5)</f>
        <v>1</v>
      </c>
      <c r="P5" s="32" t="s">
        <v>71</v>
      </c>
    </row>
    <row r="6" spans="1:16">
      <c r="B6" s="33"/>
      <c r="C6" s="1" t="s">
        <v>69</v>
      </c>
      <c r="D6" s="34" t="s">
        <v>76</v>
      </c>
      <c r="E6" s="1" t="s">
        <v>71</v>
      </c>
      <c r="F6" s="1" t="s">
        <v>71</v>
      </c>
      <c r="G6" s="1" t="s">
        <v>71</v>
      </c>
      <c r="H6" s="1"/>
      <c r="I6" s="1"/>
      <c r="J6" s="35" t="s">
        <v>72</v>
      </c>
      <c r="K6" s="136" t="s">
        <v>73</v>
      </c>
      <c r="L6" s="1" t="s">
        <v>74</v>
      </c>
      <c r="M6" s="1" t="s">
        <v>74</v>
      </c>
      <c r="N6" s="136" t="s">
        <v>75</v>
      </c>
      <c r="O6" s="1">
        <f t="shared" si="0"/>
        <v>1</v>
      </c>
      <c r="P6" s="32" t="s">
        <v>71</v>
      </c>
    </row>
    <row r="7" spans="1:16">
      <c r="B7" s="33"/>
      <c r="C7" s="1" t="s">
        <v>69</v>
      </c>
      <c r="D7" s="34" t="s">
        <v>77</v>
      </c>
      <c r="E7" s="1" t="s">
        <v>71</v>
      </c>
      <c r="F7" s="1" t="s">
        <v>71</v>
      </c>
      <c r="G7" s="1" t="s">
        <v>71</v>
      </c>
      <c r="H7" s="1"/>
      <c r="I7" s="1"/>
      <c r="J7" s="36" t="s">
        <v>72</v>
      </c>
      <c r="K7" s="136" t="s">
        <v>73</v>
      </c>
      <c r="L7" s="1" t="s">
        <v>74</v>
      </c>
      <c r="M7" s="1" t="s">
        <v>74</v>
      </c>
      <c r="N7" s="136" t="s">
        <v>75</v>
      </c>
      <c r="O7" s="1">
        <f t="shared" si="0"/>
        <v>1</v>
      </c>
      <c r="P7" s="32" t="s">
        <v>71</v>
      </c>
    </row>
    <row r="8" spans="1:16">
      <c r="B8" s="33"/>
      <c r="C8" s="1"/>
      <c r="D8" s="34" t="s">
        <v>78</v>
      </c>
      <c r="E8" s="1"/>
      <c r="F8" s="1"/>
      <c r="G8" s="1"/>
      <c r="H8" s="1"/>
      <c r="I8" s="1"/>
      <c r="J8" s="35" t="s">
        <v>72</v>
      </c>
      <c r="K8" s="136" t="s">
        <v>73</v>
      </c>
      <c r="L8" s="1" t="s">
        <v>74</v>
      </c>
      <c r="M8" s="1" t="s">
        <v>74</v>
      </c>
      <c r="N8" s="1" t="s">
        <v>79</v>
      </c>
      <c r="O8" s="1">
        <f t="shared" si="0"/>
        <v>1</v>
      </c>
    </row>
    <row r="9" spans="1:16">
      <c r="B9" s="33"/>
      <c r="C9" s="1" t="s">
        <v>80</v>
      </c>
      <c r="D9" s="34" t="s">
        <v>81</v>
      </c>
      <c r="E9" s="1"/>
      <c r="F9" s="1"/>
      <c r="G9" s="1"/>
      <c r="H9" s="1"/>
      <c r="I9" s="1"/>
      <c r="J9" s="35" t="s">
        <v>72</v>
      </c>
      <c r="K9" s="136" t="s">
        <v>73</v>
      </c>
      <c r="L9" s="1" t="s">
        <v>74</v>
      </c>
      <c r="M9" s="1" t="s">
        <v>74</v>
      </c>
      <c r="N9" s="1" t="s">
        <v>79</v>
      </c>
      <c r="O9" s="1">
        <f t="shared" si="0"/>
        <v>1</v>
      </c>
    </row>
    <row r="10" spans="1:16">
      <c r="B10" s="33"/>
      <c r="C10" s="1" t="s">
        <v>80</v>
      </c>
      <c r="D10" s="34" t="s">
        <v>82</v>
      </c>
      <c r="E10" s="1"/>
      <c r="F10" s="1"/>
      <c r="G10" s="1" t="s">
        <v>71</v>
      </c>
      <c r="H10" s="1" t="s">
        <v>71</v>
      </c>
      <c r="I10" s="1"/>
      <c r="J10" s="35" t="s">
        <v>72</v>
      </c>
      <c r="K10" s="136" t="s">
        <v>73</v>
      </c>
      <c r="L10" s="1" t="s">
        <v>74</v>
      </c>
      <c r="M10" s="1" t="s">
        <v>74</v>
      </c>
      <c r="N10" s="1" t="s">
        <v>79</v>
      </c>
      <c r="O10" s="1">
        <f t="shared" si="0"/>
        <v>2</v>
      </c>
      <c r="P10" s="32" t="s">
        <v>71</v>
      </c>
    </row>
    <row r="11" spans="1:16">
      <c r="B11" s="33"/>
      <c r="C11" s="1" t="s">
        <v>80</v>
      </c>
      <c r="D11" s="34" t="s">
        <v>82</v>
      </c>
      <c r="E11" s="1"/>
      <c r="F11" s="1"/>
      <c r="G11" s="1" t="s">
        <v>71</v>
      </c>
      <c r="H11" s="1"/>
      <c r="I11" s="1"/>
      <c r="J11" s="35" t="s">
        <v>83</v>
      </c>
      <c r="K11" s="136" t="s">
        <v>73</v>
      </c>
      <c r="L11" s="1" t="s">
        <v>74</v>
      </c>
      <c r="M11" s="1" t="s">
        <v>74</v>
      </c>
      <c r="N11" s="1" t="s">
        <v>79</v>
      </c>
      <c r="O11" s="1">
        <f t="shared" si="0"/>
        <v>2</v>
      </c>
      <c r="P11" s="32" t="s">
        <v>71</v>
      </c>
    </row>
    <row r="12" spans="1:16">
      <c r="B12" s="33"/>
      <c r="C12" s="1" t="s">
        <v>80</v>
      </c>
      <c r="D12" s="34" t="s">
        <v>84</v>
      </c>
      <c r="E12" s="1"/>
      <c r="F12" s="1"/>
      <c r="G12" s="1"/>
      <c r="H12" s="1"/>
      <c r="I12" s="1"/>
      <c r="J12" s="35" t="s">
        <v>72</v>
      </c>
      <c r="K12" s="136" t="s">
        <v>73</v>
      </c>
      <c r="L12" s="1" t="s">
        <v>74</v>
      </c>
      <c r="M12" s="1" t="s">
        <v>74</v>
      </c>
      <c r="N12" s="1" t="s">
        <v>79</v>
      </c>
      <c r="O12" s="1">
        <f t="shared" si="0"/>
        <v>2</v>
      </c>
      <c r="P12" s="32" t="s">
        <v>71</v>
      </c>
    </row>
    <row r="13" spans="1:16">
      <c r="B13" s="33"/>
      <c r="C13" s="1" t="s">
        <v>80</v>
      </c>
      <c r="D13" s="34" t="s">
        <v>84</v>
      </c>
      <c r="E13" s="1"/>
      <c r="F13" s="1"/>
      <c r="G13" s="1"/>
      <c r="H13" s="1"/>
      <c r="I13" s="1"/>
      <c r="J13" s="35" t="s">
        <v>83</v>
      </c>
      <c r="K13" s="136" t="s">
        <v>73</v>
      </c>
      <c r="L13" s="1" t="s">
        <v>74</v>
      </c>
      <c r="M13" s="1" t="s">
        <v>74</v>
      </c>
      <c r="N13" s="1" t="s">
        <v>79</v>
      </c>
      <c r="O13" s="1">
        <f t="shared" si="0"/>
        <v>2</v>
      </c>
      <c r="P13" s="32" t="s">
        <v>71</v>
      </c>
    </row>
    <row r="14" spans="1:16">
      <c r="B14" s="33"/>
      <c r="C14" s="1" t="s">
        <v>80</v>
      </c>
      <c r="D14" s="34" t="s">
        <v>85</v>
      </c>
      <c r="E14" s="1" t="s">
        <v>71</v>
      </c>
      <c r="F14" s="1"/>
      <c r="G14" s="1" t="s">
        <v>71</v>
      </c>
      <c r="H14" s="1" t="s">
        <v>71</v>
      </c>
      <c r="I14" s="1"/>
      <c r="J14" s="35" t="s">
        <v>72</v>
      </c>
      <c r="K14" s="136" t="s">
        <v>73</v>
      </c>
      <c r="L14" s="1" t="s">
        <v>74</v>
      </c>
      <c r="M14" s="1" t="s">
        <v>74</v>
      </c>
      <c r="N14" s="1" t="s">
        <v>86</v>
      </c>
      <c r="O14" s="1">
        <f t="shared" si="0"/>
        <v>1</v>
      </c>
    </row>
    <row r="15" spans="1:16">
      <c r="B15" s="33"/>
      <c r="C15" s="1" t="s">
        <v>80</v>
      </c>
      <c r="D15" s="34" t="s">
        <v>87</v>
      </c>
      <c r="E15" s="1" t="s">
        <v>71</v>
      </c>
      <c r="F15" s="1"/>
      <c r="G15" s="1" t="s">
        <v>71</v>
      </c>
      <c r="H15" s="1"/>
      <c r="I15" s="1"/>
      <c r="J15" s="35" t="s">
        <v>83</v>
      </c>
      <c r="K15" s="136" t="s">
        <v>73</v>
      </c>
      <c r="L15" s="1" t="s">
        <v>74</v>
      </c>
      <c r="M15" s="1" t="s">
        <v>74</v>
      </c>
      <c r="N15" s="1" t="s">
        <v>79</v>
      </c>
      <c r="O15" s="1">
        <f t="shared" si="0"/>
        <v>1</v>
      </c>
    </row>
    <row r="16" spans="1:16">
      <c r="B16" s="33"/>
      <c r="C16" s="1" t="s">
        <v>80</v>
      </c>
      <c r="D16" s="34" t="s">
        <v>88</v>
      </c>
      <c r="E16" s="1" t="s">
        <v>71</v>
      </c>
      <c r="F16" s="1"/>
      <c r="G16" s="1" t="s">
        <v>71</v>
      </c>
      <c r="H16" s="1"/>
      <c r="I16" s="1"/>
      <c r="J16" s="35" t="s">
        <v>89</v>
      </c>
      <c r="K16" s="136" t="s">
        <v>73</v>
      </c>
      <c r="L16" s="1" t="s">
        <v>74</v>
      </c>
      <c r="M16" s="1" t="s">
        <v>74</v>
      </c>
      <c r="N16" s="1" t="s">
        <v>79</v>
      </c>
      <c r="O16" s="1">
        <f t="shared" si="0"/>
        <v>1</v>
      </c>
    </row>
    <row r="17" spans="2:16">
      <c r="B17" s="33"/>
      <c r="C17" s="1" t="s">
        <v>80</v>
      </c>
      <c r="D17" s="34" t="s">
        <v>90</v>
      </c>
      <c r="E17" s="1" t="s">
        <v>71</v>
      </c>
      <c r="F17" s="1"/>
      <c r="G17" s="1" t="s">
        <v>71</v>
      </c>
      <c r="H17" s="1"/>
      <c r="I17" s="1"/>
      <c r="J17" s="35" t="s">
        <v>83</v>
      </c>
      <c r="K17" s="136" t="s">
        <v>73</v>
      </c>
      <c r="L17" s="1" t="s">
        <v>74</v>
      </c>
      <c r="M17" s="1" t="s">
        <v>74</v>
      </c>
      <c r="N17" s="1" t="s">
        <v>79</v>
      </c>
      <c r="O17" s="1">
        <f t="shared" si="0"/>
        <v>1</v>
      </c>
    </row>
    <row r="18" spans="2:16">
      <c r="B18" s="33"/>
      <c r="C18" s="1" t="s">
        <v>80</v>
      </c>
      <c r="D18" s="34" t="s">
        <v>91</v>
      </c>
      <c r="E18" s="1" t="s">
        <v>71</v>
      </c>
      <c r="F18" s="1"/>
      <c r="G18" s="1" t="s">
        <v>71</v>
      </c>
      <c r="H18" s="1"/>
      <c r="I18" s="1"/>
      <c r="J18" s="36" t="s">
        <v>89</v>
      </c>
      <c r="K18" s="136" t="s">
        <v>73</v>
      </c>
      <c r="L18" s="1" t="s">
        <v>74</v>
      </c>
      <c r="M18" s="1" t="s">
        <v>74</v>
      </c>
      <c r="N18" s="1" t="s">
        <v>79</v>
      </c>
      <c r="O18" s="1">
        <f t="shared" si="0"/>
        <v>1</v>
      </c>
    </row>
    <row r="19" spans="2:16">
      <c r="B19" s="33"/>
      <c r="C19" s="1"/>
      <c r="D19" s="34"/>
      <c r="E19" s="1"/>
      <c r="F19" s="1"/>
      <c r="G19" s="1"/>
      <c r="H19" s="1"/>
      <c r="I19" s="1"/>
      <c r="J19" s="34"/>
      <c r="K19" s="136"/>
      <c r="L19" s="1"/>
      <c r="N19" s="1"/>
    </row>
    <row r="20" spans="2:16">
      <c r="B20" s="137" t="s">
        <v>92</v>
      </c>
      <c r="C20" s="1" t="s">
        <v>69</v>
      </c>
      <c r="D20" s="34" t="s">
        <v>93</v>
      </c>
      <c r="E20" s="1"/>
      <c r="F20" s="1"/>
      <c r="G20" s="1" t="s">
        <v>71</v>
      </c>
      <c r="H20" s="1" t="s">
        <v>71</v>
      </c>
      <c r="I20" s="1"/>
      <c r="J20" s="37" t="s">
        <v>72</v>
      </c>
      <c r="K20" s="136" t="s">
        <v>73</v>
      </c>
      <c r="L20" s="1" t="s">
        <v>94</v>
      </c>
      <c r="M20" s="1" t="s">
        <v>94</v>
      </c>
      <c r="N20" s="1" t="s">
        <v>95</v>
      </c>
      <c r="O20" s="1">
        <f t="shared" ref="O20:O21" si="1">COUNTIF($D:$D,D20)</f>
        <v>1</v>
      </c>
    </row>
    <row r="21" spans="2:16">
      <c r="B21" s="33"/>
      <c r="C21" s="1" t="s">
        <v>80</v>
      </c>
      <c r="D21" s="34" t="s">
        <v>96</v>
      </c>
      <c r="E21" s="1" t="s">
        <v>74</v>
      </c>
      <c r="F21" s="1"/>
      <c r="G21" s="1"/>
      <c r="H21" s="1"/>
      <c r="I21" s="1"/>
      <c r="J21" s="34" t="s">
        <v>72</v>
      </c>
      <c r="K21" s="136" t="s">
        <v>73</v>
      </c>
      <c r="L21" s="1" t="s">
        <v>94</v>
      </c>
      <c r="M21" s="1" t="s">
        <v>94</v>
      </c>
      <c r="N21" s="1" t="s">
        <v>97</v>
      </c>
      <c r="O21" s="1">
        <f t="shared" si="1"/>
        <v>1</v>
      </c>
    </row>
    <row r="22" spans="2:16">
      <c r="B22" s="33"/>
      <c r="C22" s="1"/>
      <c r="D22" s="34"/>
      <c r="E22" s="1"/>
      <c r="F22" s="1"/>
      <c r="G22" s="1"/>
      <c r="H22" s="1"/>
      <c r="I22" s="1"/>
      <c r="J22" s="34"/>
      <c r="K22" s="136"/>
      <c r="L22" s="1"/>
      <c r="N22" s="1"/>
    </row>
    <row r="23" spans="2:16">
      <c r="B23" s="137" t="s">
        <v>98</v>
      </c>
      <c r="C23" s="1" t="s">
        <v>69</v>
      </c>
      <c r="D23" s="34" t="s">
        <v>99</v>
      </c>
      <c r="E23" s="1" t="s">
        <v>100</v>
      </c>
      <c r="F23" s="1"/>
      <c r="G23" s="1" t="s">
        <v>71</v>
      </c>
      <c r="H23" s="1"/>
      <c r="I23" s="1"/>
      <c r="J23" s="34" t="s">
        <v>72</v>
      </c>
      <c r="K23" s="136" t="s">
        <v>73</v>
      </c>
      <c r="L23" s="1" t="s">
        <v>101</v>
      </c>
      <c r="M23" s="1" t="s">
        <v>74</v>
      </c>
      <c r="N23" s="1" t="s">
        <v>102</v>
      </c>
      <c r="O23" s="1">
        <f t="shared" ref="O23:O25" si="2">COUNTIF($D:$D,D23)</f>
        <v>1</v>
      </c>
    </row>
    <row r="24" spans="2:16">
      <c r="B24" s="33"/>
      <c r="C24" s="1" t="s">
        <v>80</v>
      </c>
      <c r="D24" s="34" t="s">
        <v>103</v>
      </c>
      <c r="E24" s="1"/>
      <c r="F24" s="1"/>
      <c r="G24" s="1" t="s">
        <v>71</v>
      </c>
      <c r="H24" s="1" t="s">
        <v>71</v>
      </c>
      <c r="I24" s="1"/>
      <c r="J24" s="34" t="s">
        <v>72</v>
      </c>
      <c r="K24" s="136" t="s">
        <v>73</v>
      </c>
      <c r="L24" s="1" t="s">
        <v>101</v>
      </c>
      <c r="M24" s="1" t="s">
        <v>74</v>
      </c>
      <c r="N24" s="1" t="s">
        <v>104</v>
      </c>
      <c r="O24" s="1">
        <f t="shared" si="2"/>
        <v>1</v>
      </c>
    </row>
    <row r="25" spans="2:16">
      <c r="B25" s="33"/>
      <c r="C25" s="1" t="s">
        <v>80</v>
      </c>
      <c r="D25" s="34" t="s">
        <v>105</v>
      </c>
      <c r="E25" s="1"/>
      <c r="F25" s="1"/>
      <c r="G25" s="1" t="s">
        <v>71</v>
      </c>
      <c r="H25" s="1"/>
      <c r="I25" s="1"/>
      <c r="J25" s="34" t="s">
        <v>72</v>
      </c>
      <c r="K25" s="136" t="s">
        <v>73</v>
      </c>
      <c r="L25" s="1" t="s">
        <v>101</v>
      </c>
      <c r="M25" s="1" t="s">
        <v>74</v>
      </c>
      <c r="N25" s="1" t="s">
        <v>79</v>
      </c>
      <c r="O25" s="1">
        <f t="shared" si="2"/>
        <v>1</v>
      </c>
    </row>
    <row r="26" spans="2:16">
      <c r="B26" s="33"/>
      <c r="C26" s="1"/>
      <c r="D26" s="34"/>
      <c r="E26" s="1"/>
      <c r="F26" s="1"/>
      <c r="G26" s="1"/>
      <c r="H26" s="1"/>
      <c r="I26" s="1"/>
      <c r="J26" s="34"/>
      <c r="K26" s="136"/>
      <c r="L26" s="1"/>
      <c r="N26" s="1"/>
    </row>
    <row r="27" spans="2:16">
      <c r="B27" s="137" t="s">
        <v>106</v>
      </c>
      <c r="C27" s="1" t="s">
        <v>69</v>
      </c>
      <c r="D27" s="34" t="s">
        <v>107</v>
      </c>
      <c r="E27" s="1" t="s">
        <v>108</v>
      </c>
      <c r="F27" s="1"/>
      <c r="G27" s="1"/>
      <c r="H27" s="1"/>
      <c r="I27" s="1"/>
      <c r="J27" s="34" t="s">
        <v>72</v>
      </c>
      <c r="K27" s="136" t="s">
        <v>73</v>
      </c>
      <c r="L27" s="1" t="s">
        <v>109</v>
      </c>
      <c r="M27" s="1" t="s">
        <v>101</v>
      </c>
      <c r="N27" s="1" t="s">
        <v>110</v>
      </c>
      <c r="O27" s="1">
        <f>COUNTIF($D:$D,D27)</f>
        <v>1</v>
      </c>
    </row>
    <row r="28" spans="2:16">
      <c r="B28" s="33"/>
      <c r="C28" s="1"/>
      <c r="D28" s="34"/>
      <c r="E28" s="1"/>
      <c r="F28" s="1"/>
      <c r="G28" s="1"/>
      <c r="H28" s="1"/>
      <c r="I28" s="1"/>
      <c r="J28" s="34"/>
      <c r="K28" s="136"/>
      <c r="L28" s="1"/>
      <c r="N28" s="1"/>
    </row>
    <row r="29" spans="2:16">
      <c r="B29" s="137" t="s">
        <v>111</v>
      </c>
      <c r="C29" s="1" t="s">
        <v>69</v>
      </c>
      <c r="D29" s="34" t="s">
        <v>112</v>
      </c>
      <c r="E29" s="1"/>
      <c r="G29" s="1"/>
      <c r="H29" s="1"/>
      <c r="I29" s="1"/>
      <c r="J29" s="34" t="s">
        <v>72</v>
      </c>
      <c r="K29" s="136" t="s">
        <v>73</v>
      </c>
      <c r="L29" s="1" t="s">
        <v>113</v>
      </c>
      <c r="M29" s="1" t="s">
        <v>113</v>
      </c>
      <c r="N29" s="1" t="s">
        <v>114</v>
      </c>
      <c r="O29" s="1">
        <f t="shared" ref="O29:O36" si="3">COUNTIF($D:$D,D29)</f>
        <v>2</v>
      </c>
    </row>
    <row r="30" spans="2:16">
      <c r="B30" s="33"/>
      <c r="C30" s="1" t="s">
        <v>69</v>
      </c>
      <c r="D30" s="34" t="s">
        <v>115</v>
      </c>
      <c r="E30" s="1"/>
      <c r="F30" s="1"/>
      <c r="G30" s="1"/>
      <c r="H30" s="1"/>
      <c r="I30" s="1"/>
      <c r="J30" s="34" t="s">
        <v>72</v>
      </c>
      <c r="K30" s="136" t="s">
        <v>73</v>
      </c>
      <c r="L30" s="1" t="s">
        <v>109</v>
      </c>
      <c r="M30" s="1" t="s">
        <v>113</v>
      </c>
      <c r="N30" s="1" t="s">
        <v>116</v>
      </c>
      <c r="O30" s="1">
        <f t="shared" si="3"/>
        <v>1</v>
      </c>
    </row>
    <row r="31" spans="2:16">
      <c r="B31" s="33"/>
      <c r="C31" s="1" t="s">
        <v>69</v>
      </c>
      <c r="D31" s="34" t="s">
        <v>117</v>
      </c>
      <c r="E31" s="1" t="s">
        <v>71</v>
      </c>
      <c r="F31" s="1"/>
      <c r="G31" s="1" t="s">
        <v>71</v>
      </c>
      <c r="H31" s="1"/>
      <c r="I31" s="1"/>
      <c r="J31" s="34" t="s">
        <v>72</v>
      </c>
      <c r="K31" s="136" t="s">
        <v>73</v>
      </c>
      <c r="L31" s="1" t="s">
        <v>74</v>
      </c>
      <c r="M31" s="1" t="s">
        <v>113</v>
      </c>
      <c r="N31" s="1" t="s">
        <v>118</v>
      </c>
      <c r="O31" s="1">
        <f t="shared" si="3"/>
        <v>1</v>
      </c>
    </row>
    <row r="32" spans="2:16">
      <c r="B32" s="33"/>
      <c r="C32" s="1" t="s">
        <v>69</v>
      </c>
      <c r="D32" s="29" t="s">
        <v>119</v>
      </c>
      <c r="E32" s="30"/>
      <c r="F32" s="30"/>
      <c r="G32" s="30"/>
      <c r="H32" s="30"/>
      <c r="I32" s="30"/>
      <c r="J32" s="34" t="s">
        <v>72</v>
      </c>
      <c r="K32" s="136" t="s">
        <v>73</v>
      </c>
      <c r="L32" s="1" t="s">
        <v>109</v>
      </c>
      <c r="M32" s="1" t="s">
        <v>113</v>
      </c>
      <c r="N32" s="1" t="s">
        <v>75</v>
      </c>
      <c r="O32" s="1">
        <f t="shared" si="3"/>
        <v>1</v>
      </c>
      <c r="P32" s="1" t="s">
        <v>71</v>
      </c>
    </row>
    <row r="33" spans="1:19">
      <c r="B33" s="33"/>
      <c r="C33" s="1" t="s">
        <v>69</v>
      </c>
      <c r="D33" s="34" t="s">
        <v>120</v>
      </c>
      <c r="E33" s="1" t="s">
        <v>71</v>
      </c>
      <c r="F33" s="1"/>
      <c r="G33" s="1"/>
      <c r="H33" s="1"/>
      <c r="I33" s="1"/>
      <c r="J33" s="34" t="s">
        <v>72</v>
      </c>
      <c r="K33" s="136" t="s">
        <v>73</v>
      </c>
      <c r="L33" s="1" t="s">
        <v>109</v>
      </c>
      <c r="M33" s="1" t="s">
        <v>113</v>
      </c>
      <c r="N33" s="1" t="s">
        <v>75</v>
      </c>
      <c r="O33" s="1">
        <f t="shared" si="3"/>
        <v>1</v>
      </c>
      <c r="P33" s="1" t="s">
        <v>71</v>
      </c>
    </row>
    <row r="34" spans="1:19">
      <c r="B34" s="33"/>
      <c r="C34" s="1" t="s">
        <v>69</v>
      </c>
      <c r="D34" s="34" t="s">
        <v>121</v>
      </c>
      <c r="E34" s="1" t="s">
        <v>71</v>
      </c>
      <c r="F34" s="1"/>
      <c r="G34" s="1"/>
      <c r="H34" s="1"/>
      <c r="I34" s="1"/>
      <c r="J34" s="34" t="s">
        <v>72</v>
      </c>
      <c r="K34" s="136" t="s">
        <v>73</v>
      </c>
      <c r="L34" s="1" t="s">
        <v>109</v>
      </c>
      <c r="M34" s="1" t="s">
        <v>113</v>
      </c>
      <c r="N34" s="1" t="s">
        <v>75</v>
      </c>
      <c r="O34" s="1">
        <f t="shared" si="3"/>
        <v>1</v>
      </c>
      <c r="P34" s="1" t="s">
        <v>71</v>
      </c>
    </row>
    <row r="35" spans="1:19">
      <c r="A35" s="20"/>
      <c r="B35" s="33"/>
      <c r="C35" s="20" t="s">
        <v>69</v>
      </c>
      <c r="D35" s="38" t="s">
        <v>122</v>
      </c>
      <c r="E35" s="20"/>
      <c r="F35" s="20"/>
      <c r="G35" s="20"/>
      <c r="H35" s="20"/>
      <c r="I35" s="20"/>
      <c r="J35" s="38" t="s">
        <v>72</v>
      </c>
      <c r="K35" s="135" t="s">
        <v>73</v>
      </c>
      <c r="L35" s="20" t="s">
        <v>101</v>
      </c>
      <c r="M35" s="20" t="s">
        <v>113</v>
      </c>
      <c r="N35" s="20" t="s">
        <v>123</v>
      </c>
      <c r="O35" s="20">
        <f t="shared" si="3"/>
        <v>1</v>
      </c>
      <c r="P35" s="20"/>
      <c r="Q35" s="20"/>
      <c r="R35" s="20"/>
      <c r="S35" s="20"/>
    </row>
    <row r="36" spans="1:19">
      <c r="B36" s="33"/>
      <c r="C36" s="1" t="s">
        <v>69</v>
      </c>
      <c r="D36" s="39" t="s">
        <v>124</v>
      </c>
      <c r="E36" s="40"/>
      <c r="F36" s="40"/>
      <c r="G36" s="40"/>
      <c r="H36" s="40"/>
      <c r="I36" s="40"/>
      <c r="J36" s="41" t="s">
        <v>72</v>
      </c>
      <c r="K36" s="138" t="s">
        <v>125</v>
      </c>
      <c r="L36" s="40" t="s">
        <v>109</v>
      </c>
      <c r="M36" s="40" t="s">
        <v>113</v>
      </c>
      <c r="N36" s="40" t="s">
        <v>126</v>
      </c>
      <c r="O36" s="1">
        <f t="shared" si="3"/>
        <v>1</v>
      </c>
    </row>
    <row r="37" spans="1:19">
      <c r="B37" s="33"/>
      <c r="C37" s="1"/>
      <c r="D37" s="34"/>
      <c r="E37" s="1"/>
      <c r="F37" s="1"/>
      <c r="G37" s="1"/>
      <c r="H37" s="1"/>
      <c r="I37" s="1"/>
      <c r="J37" s="34"/>
      <c r="K37" s="136"/>
      <c r="N37" s="1"/>
    </row>
    <row r="38" spans="1:19">
      <c r="B38" s="137" t="s">
        <v>127</v>
      </c>
      <c r="C38" s="1"/>
      <c r="D38" s="34" t="s">
        <v>112</v>
      </c>
      <c r="E38" s="1" t="s">
        <v>128</v>
      </c>
      <c r="F38" s="1" t="s">
        <v>74</v>
      </c>
      <c r="G38" s="1"/>
      <c r="H38" s="1"/>
      <c r="I38" s="1"/>
      <c r="J38" s="34" t="s">
        <v>72</v>
      </c>
      <c r="K38" s="136" t="s">
        <v>125</v>
      </c>
      <c r="L38" s="1" t="s">
        <v>129</v>
      </c>
      <c r="M38" s="1" t="s">
        <v>74</v>
      </c>
      <c r="N38" s="1" t="s">
        <v>114</v>
      </c>
      <c r="O38" s="1">
        <f t="shared" ref="O38:O43" si="4">COUNTIF($D:$D,D38)</f>
        <v>2</v>
      </c>
    </row>
    <row r="39" spans="1:19">
      <c r="B39" s="33"/>
      <c r="C39" s="1"/>
      <c r="D39" s="34" t="s">
        <v>130</v>
      </c>
      <c r="E39" s="1"/>
      <c r="F39" s="1" t="s">
        <v>74</v>
      </c>
      <c r="G39" s="1"/>
      <c r="H39" s="1"/>
      <c r="I39" s="1"/>
      <c r="J39" s="34" t="s">
        <v>72</v>
      </c>
      <c r="K39" s="136" t="s">
        <v>125</v>
      </c>
      <c r="L39" s="1" t="s">
        <v>129</v>
      </c>
      <c r="M39" s="1" t="s">
        <v>74</v>
      </c>
      <c r="N39" s="1" t="s">
        <v>114</v>
      </c>
      <c r="O39" s="1">
        <f t="shared" si="4"/>
        <v>1</v>
      </c>
    </row>
    <row r="40" spans="1:19">
      <c r="B40" s="33"/>
      <c r="C40" s="1"/>
      <c r="D40" s="34" t="s">
        <v>131</v>
      </c>
      <c r="E40" s="1"/>
      <c r="F40" s="1"/>
      <c r="G40" s="1" t="s">
        <v>71</v>
      </c>
      <c r="H40" s="1" t="s">
        <v>71</v>
      </c>
      <c r="I40" s="1"/>
      <c r="J40" s="34" t="s">
        <v>72</v>
      </c>
      <c r="K40" s="136" t="s">
        <v>125</v>
      </c>
      <c r="L40" s="1" t="s">
        <v>129</v>
      </c>
      <c r="M40" s="1" t="s">
        <v>74</v>
      </c>
      <c r="N40" s="1" t="s">
        <v>132</v>
      </c>
      <c r="O40" s="1">
        <f t="shared" si="4"/>
        <v>2</v>
      </c>
    </row>
    <row r="41" spans="1:19">
      <c r="B41" s="33"/>
      <c r="C41" s="1"/>
      <c r="D41" s="34" t="s">
        <v>131</v>
      </c>
      <c r="E41" s="1"/>
      <c r="F41" s="1"/>
      <c r="G41" s="1" t="s">
        <v>71</v>
      </c>
      <c r="H41" s="1"/>
      <c r="I41" s="1"/>
      <c r="J41" s="34" t="s">
        <v>83</v>
      </c>
      <c r="K41" s="136" t="s">
        <v>125</v>
      </c>
      <c r="L41" s="1" t="s">
        <v>129</v>
      </c>
      <c r="M41" s="1" t="s">
        <v>74</v>
      </c>
      <c r="N41" s="1" t="s">
        <v>132</v>
      </c>
      <c r="O41" s="1">
        <f t="shared" si="4"/>
        <v>2</v>
      </c>
    </row>
    <row r="42" spans="1:19">
      <c r="B42" s="33"/>
      <c r="C42" s="1"/>
      <c r="D42" s="42" t="s">
        <v>133</v>
      </c>
      <c r="E42" s="1"/>
      <c r="F42" s="1"/>
      <c r="G42" s="1" t="s">
        <v>71</v>
      </c>
      <c r="H42" s="1" t="s">
        <v>71</v>
      </c>
      <c r="I42" s="1"/>
      <c r="J42" s="43" t="s">
        <v>72</v>
      </c>
      <c r="K42" s="136" t="s">
        <v>125</v>
      </c>
      <c r="L42" s="1" t="s">
        <v>129</v>
      </c>
      <c r="M42" s="1" t="s">
        <v>74</v>
      </c>
      <c r="N42" s="1" t="s">
        <v>134</v>
      </c>
      <c r="O42" s="1">
        <f t="shared" si="4"/>
        <v>1</v>
      </c>
    </row>
    <row r="43" spans="1:19">
      <c r="B43" s="33"/>
      <c r="C43" s="1"/>
      <c r="D43" s="42" t="s">
        <v>135</v>
      </c>
      <c r="E43" s="1"/>
      <c r="F43" s="1"/>
      <c r="G43" s="1" t="s">
        <v>71</v>
      </c>
      <c r="H43" s="44"/>
      <c r="I43" s="44"/>
      <c r="J43" s="43" t="s">
        <v>83</v>
      </c>
      <c r="K43" s="136" t="s">
        <v>125</v>
      </c>
      <c r="L43" s="1" t="s">
        <v>129</v>
      </c>
      <c r="M43" s="1" t="s">
        <v>74</v>
      </c>
      <c r="N43" s="1" t="s">
        <v>134</v>
      </c>
      <c r="O43" s="1">
        <f t="shared" si="4"/>
        <v>1</v>
      </c>
    </row>
    <row r="44" spans="1:19">
      <c r="B44" s="33"/>
      <c r="C44" s="1"/>
      <c r="D44" s="34"/>
      <c r="E44" s="1"/>
      <c r="F44" s="1"/>
      <c r="G44" s="1"/>
      <c r="H44" s="1"/>
      <c r="I44" s="1"/>
      <c r="J44" s="34"/>
      <c r="K44" s="136"/>
      <c r="N44" s="1"/>
    </row>
    <row r="45" spans="1:19">
      <c r="B45" s="137" t="s">
        <v>136</v>
      </c>
      <c r="C45" s="1" t="s">
        <v>69</v>
      </c>
      <c r="D45" s="34" t="s">
        <v>137</v>
      </c>
      <c r="E45" s="1" t="s">
        <v>138</v>
      </c>
      <c r="F45" s="1" t="s">
        <v>74</v>
      </c>
      <c r="G45" s="1"/>
      <c r="H45" s="1"/>
      <c r="I45" s="1"/>
      <c r="J45" s="34" t="s">
        <v>72</v>
      </c>
      <c r="K45" s="136" t="s">
        <v>139</v>
      </c>
      <c r="L45" s="1" t="s">
        <v>94</v>
      </c>
      <c r="M45" s="1" t="s">
        <v>94</v>
      </c>
      <c r="N45" s="1" t="s">
        <v>114</v>
      </c>
      <c r="O45" s="1">
        <f>COUNTIF($D:$D,D45)</f>
        <v>2</v>
      </c>
      <c r="P45" s="1" t="s">
        <v>140</v>
      </c>
    </row>
    <row r="46" spans="1:19">
      <c r="B46" s="33"/>
      <c r="C46" s="1" t="s">
        <v>80</v>
      </c>
      <c r="D46" s="34" t="s">
        <v>141</v>
      </c>
      <c r="E46" s="1"/>
      <c r="F46" s="1"/>
      <c r="G46" s="1"/>
      <c r="H46" s="1"/>
      <c r="I46" s="1"/>
      <c r="J46" s="34" t="s">
        <v>72</v>
      </c>
      <c r="K46" s="136" t="s">
        <v>139</v>
      </c>
      <c r="L46" s="1" t="s">
        <v>94</v>
      </c>
      <c r="M46" s="1" t="s">
        <v>94</v>
      </c>
      <c r="N46" s="1"/>
      <c r="P46" s="1"/>
    </row>
    <row r="47" spans="1:19">
      <c r="B47" s="33"/>
      <c r="D47" s="34" t="s">
        <v>142</v>
      </c>
      <c r="E47" s="1" t="s">
        <v>143</v>
      </c>
      <c r="F47" s="1"/>
      <c r="G47" s="1" t="s">
        <v>71</v>
      </c>
      <c r="H47" s="1" t="s">
        <v>144</v>
      </c>
      <c r="I47" s="1"/>
      <c r="J47" s="34" t="s">
        <v>72</v>
      </c>
      <c r="K47" s="136" t="s">
        <v>139</v>
      </c>
      <c r="L47" s="1" t="s">
        <v>94</v>
      </c>
      <c r="M47" s="1" t="s">
        <v>94</v>
      </c>
      <c r="N47" s="403" t="s">
        <v>145</v>
      </c>
      <c r="O47" s="1">
        <f t="shared" ref="O47:O49" si="5">COUNTIF($D:$D,D47)</f>
        <v>4</v>
      </c>
      <c r="P47" s="1" t="s">
        <v>146</v>
      </c>
    </row>
    <row r="48" spans="1:19">
      <c r="B48" s="33"/>
      <c r="C48" s="1"/>
      <c r="D48" s="45" t="s">
        <v>147</v>
      </c>
      <c r="E48" s="46"/>
      <c r="F48" s="46"/>
      <c r="G48" s="46" t="s">
        <v>71</v>
      </c>
      <c r="H48" s="46" t="s">
        <v>71</v>
      </c>
      <c r="I48" s="46"/>
      <c r="J48" s="43" t="s">
        <v>72</v>
      </c>
      <c r="K48" s="136" t="s">
        <v>139</v>
      </c>
      <c r="L48" s="1" t="s">
        <v>94</v>
      </c>
      <c r="M48" s="1" t="s">
        <v>94</v>
      </c>
      <c r="N48" s="404"/>
      <c r="O48" s="1">
        <f t="shared" si="5"/>
        <v>3</v>
      </c>
    </row>
    <row r="49" spans="2:15">
      <c r="B49" s="33"/>
      <c r="C49" s="1"/>
      <c r="D49" s="45" t="s">
        <v>148</v>
      </c>
      <c r="E49" s="46"/>
      <c r="F49" s="46"/>
      <c r="G49" s="46" t="s">
        <v>71</v>
      </c>
      <c r="H49" s="46" t="s">
        <v>71</v>
      </c>
      <c r="I49" s="46"/>
      <c r="J49" s="43" t="s">
        <v>72</v>
      </c>
      <c r="K49" s="136" t="s">
        <v>113</v>
      </c>
      <c r="L49" s="1" t="s">
        <v>94</v>
      </c>
      <c r="M49" s="1" t="s">
        <v>94</v>
      </c>
      <c r="N49" s="404"/>
      <c r="O49" s="1">
        <f t="shared" si="5"/>
        <v>4</v>
      </c>
    </row>
    <row r="50" spans="2:15">
      <c r="B50" s="33"/>
      <c r="C50" s="1"/>
      <c r="D50" s="47" t="s">
        <v>149</v>
      </c>
      <c r="F50" s="1"/>
      <c r="G50" s="1"/>
      <c r="H50" s="1"/>
      <c r="I50" s="1"/>
      <c r="J50" s="34" t="s">
        <v>72</v>
      </c>
      <c r="K50" s="136" t="s">
        <v>150</v>
      </c>
      <c r="L50" s="1"/>
      <c r="M50" s="1"/>
      <c r="N50" s="404"/>
    </row>
    <row r="51" spans="2:15">
      <c r="B51" s="33"/>
      <c r="C51" s="1"/>
      <c r="D51" s="48" t="s">
        <v>151</v>
      </c>
      <c r="F51" s="1"/>
      <c r="G51" s="1"/>
      <c r="H51" s="1"/>
      <c r="I51" s="1"/>
      <c r="J51" s="34" t="s">
        <v>72</v>
      </c>
      <c r="K51" s="136" t="s">
        <v>125</v>
      </c>
      <c r="L51" s="1" t="s">
        <v>113</v>
      </c>
      <c r="M51" s="1" t="s">
        <v>94</v>
      </c>
      <c r="N51" s="404"/>
      <c r="O51" s="1">
        <f t="shared" ref="O51:O55" si="6">COUNTIF($D:$D,D51)</f>
        <v>1</v>
      </c>
    </row>
    <row r="52" spans="2:15">
      <c r="B52" s="33"/>
      <c r="C52" s="1"/>
      <c r="D52" s="49" t="s">
        <v>142</v>
      </c>
      <c r="E52" s="50"/>
      <c r="F52" s="50"/>
      <c r="G52" s="50"/>
      <c r="H52" s="50"/>
      <c r="I52" s="50"/>
      <c r="J52" s="34" t="s">
        <v>83</v>
      </c>
      <c r="K52" s="136" t="s">
        <v>125</v>
      </c>
      <c r="L52" s="1" t="s">
        <v>94</v>
      </c>
      <c r="M52" s="1" t="s">
        <v>94</v>
      </c>
      <c r="N52" s="1" t="s">
        <v>152</v>
      </c>
      <c r="O52" s="1">
        <f t="shared" si="6"/>
        <v>4</v>
      </c>
    </row>
    <row r="53" spans="2:15">
      <c r="B53" s="33"/>
      <c r="C53" s="51"/>
      <c r="D53" s="45" t="s">
        <v>153</v>
      </c>
      <c r="E53" s="46"/>
      <c r="F53" s="46"/>
      <c r="G53" s="46" t="s">
        <v>71</v>
      </c>
      <c r="H53" s="46"/>
      <c r="I53" s="46"/>
      <c r="J53" s="52" t="s">
        <v>83</v>
      </c>
      <c r="K53" s="136" t="s">
        <v>125</v>
      </c>
      <c r="L53" s="1" t="s">
        <v>94</v>
      </c>
      <c r="M53" s="1" t="s">
        <v>94</v>
      </c>
      <c r="N53" s="1" t="s">
        <v>152</v>
      </c>
      <c r="O53" s="1">
        <f t="shared" si="6"/>
        <v>1</v>
      </c>
    </row>
    <row r="54" spans="2:15">
      <c r="B54" s="33"/>
      <c r="C54" s="51"/>
      <c r="D54" s="45" t="s">
        <v>148</v>
      </c>
      <c r="E54" s="46"/>
      <c r="F54" s="46"/>
      <c r="G54" s="46" t="s">
        <v>71</v>
      </c>
      <c r="H54" s="46"/>
      <c r="I54" s="46"/>
      <c r="J54" s="52" t="s">
        <v>83</v>
      </c>
      <c r="K54" s="136" t="s">
        <v>125</v>
      </c>
      <c r="L54" s="1" t="s">
        <v>94</v>
      </c>
      <c r="M54" s="1" t="s">
        <v>94</v>
      </c>
      <c r="N54" s="1" t="s">
        <v>152</v>
      </c>
      <c r="O54" s="1">
        <f t="shared" si="6"/>
        <v>4</v>
      </c>
    </row>
    <row r="55" spans="2:15">
      <c r="B55" s="33"/>
      <c r="C55" s="33"/>
      <c r="D55" s="34" t="s">
        <v>154</v>
      </c>
      <c r="E55" s="1"/>
      <c r="F55" s="1"/>
      <c r="G55" s="1"/>
      <c r="H55" s="1"/>
      <c r="I55" s="1"/>
      <c r="J55" s="34" t="s">
        <v>83</v>
      </c>
      <c r="K55" s="136" t="s">
        <v>125</v>
      </c>
      <c r="L55" s="1" t="s">
        <v>113</v>
      </c>
      <c r="M55" s="1" t="s">
        <v>94</v>
      </c>
      <c r="N55" s="1" t="s">
        <v>155</v>
      </c>
      <c r="O55" s="1">
        <f t="shared" si="6"/>
        <v>1</v>
      </c>
    </row>
    <row r="56" spans="2:15">
      <c r="B56" s="33"/>
      <c r="C56" s="1"/>
      <c r="D56" s="34"/>
      <c r="E56" s="1"/>
      <c r="F56" s="1"/>
      <c r="G56" s="1"/>
      <c r="H56" s="1"/>
      <c r="I56" s="1"/>
      <c r="J56" s="34"/>
      <c r="K56" s="136"/>
      <c r="L56" s="1"/>
      <c r="N56" s="1"/>
    </row>
    <row r="57" spans="2:15">
      <c r="B57" s="137" t="s">
        <v>156</v>
      </c>
      <c r="C57" s="1" t="s">
        <v>69</v>
      </c>
      <c r="D57" s="34" t="s">
        <v>137</v>
      </c>
      <c r="E57" s="1"/>
      <c r="F57" s="1" t="s">
        <v>74</v>
      </c>
      <c r="G57" s="1"/>
      <c r="H57" s="1"/>
      <c r="I57" s="1"/>
      <c r="J57" s="34" t="s">
        <v>72</v>
      </c>
      <c r="K57" s="136" t="s">
        <v>125</v>
      </c>
      <c r="L57" s="1" t="s">
        <v>94</v>
      </c>
      <c r="M57" s="1" t="s">
        <v>94</v>
      </c>
      <c r="N57" s="1" t="s">
        <v>157</v>
      </c>
      <c r="O57" s="1">
        <f>COUNTIF($D:$D,D57)</f>
        <v>2</v>
      </c>
    </row>
    <row r="58" spans="2:15">
      <c r="B58" s="33"/>
      <c r="C58" s="1" t="s">
        <v>80</v>
      </c>
      <c r="D58" s="34" t="s">
        <v>141</v>
      </c>
      <c r="E58" s="1"/>
      <c r="F58" s="1"/>
      <c r="G58" s="1"/>
      <c r="H58" s="1"/>
      <c r="I58" s="1"/>
      <c r="J58" s="34" t="s">
        <v>72</v>
      </c>
      <c r="K58" s="136" t="s">
        <v>125</v>
      </c>
      <c r="L58" s="1" t="s">
        <v>94</v>
      </c>
      <c r="M58" s="1" t="s">
        <v>94</v>
      </c>
      <c r="N58" s="1" t="s">
        <v>157</v>
      </c>
    </row>
    <row r="59" spans="2:15">
      <c r="B59" s="33"/>
      <c r="D59" s="43" t="s">
        <v>142</v>
      </c>
      <c r="E59" s="46"/>
      <c r="F59" s="46"/>
      <c r="G59" s="46"/>
      <c r="H59" s="46"/>
      <c r="I59" s="46"/>
      <c r="J59" s="43" t="s">
        <v>72</v>
      </c>
      <c r="K59" s="136" t="s">
        <v>125</v>
      </c>
      <c r="L59" s="1" t="s">
        <v>94</v>
      </c>
      <c r="M59" s="1" t="s">
        <v>94</v>
      </c>
      <c r="N59" s="1" t="s">
        <v>157</v>
      </c>
      <c r="O59" s="1">
        <f t="shared" ref="O59:O61" si="7">COUNTIF($D:$D,D59)</f>
        <v>4</v>
      </c>
    </row>
    <row r="60" spans="2:15">
      <c r="B60" s="33"/>
      <c r="C60" s="1"/>
      <c r="D60" s="45" t="s">
        <v>147</v>
      </c>
      <c r="E60" s="46"/>
      <c r="F60" s="46"/>
      <c r="G60" s="46"/>
      <c r="H60" s="46"/>
      <c r="I60" s="46"/>
      <c r="J60" s="43" t="s">
        <v>72</v>
      </c>
      <c r="K60" s="136" t="s">
        <v>125</v>
      </c>
      <c r="L60" s="1" t="s">
        <v>94</v>
      </c>
      <c r="M60" s="1" t="s">
        <v>94</v>
      </c>
      <c r="N60" s="1" t="s">
        <v>157</v>
      </c>
      <c r="O60" s="1">
        <f t="shared" si="7"/>
        <v>3</v>
      </c>
    </row>
    <row r="61" spans="2:15">
      <c r="B61" s="33"/>
      <c r="C61" s="1"/>
      <c r="D61" s="45" t="s">
        <v>148</v>
      </c>
      <c r="E61" s="46"/>
      <c r="F61" s="46"/>
      <c r="G61" s="46"/>
      <c r="H61" s="46"/>
      <c r="I61" s="46"/>
      <c r="J61" s="43" t="s">
        <v>72</v>
      </c>
      <c r="K61" s="136" t="s">
        <v>125</v>
      </c>
      <c r="L61" s="1" t="s">
        <v>94</v>
      </c>
      <c r="M61" s="1" t="s">
        <v>94</v>
      </c>
      <c r="N61" s="1" t="s">
        <v>157</v>
      </c>
      <c r="O61" s="1">
        <f t="shared" si="7"/>
        <v>4</v>
      </c>
    </row>
    <row r="62" spans="2:15">
      <c r="B62" s="33"/>
      <c r="C62" s="1"/>
      <c r="D62" s="47" t="s">
        <v>149</v>
      </c>
      <c r="E62" s="46"/>
      <c r="F62" s="46"/>
      <c r="G62" s="46"/>
      <c r="H62" s="46"/>
      <c r="I62" s="46"/>
      <c r="J62" s="43"/>
      <c r="K62" s="136"/>
      <c r="L62" s="1"/>
      <c r="M62" s="1"/>
      <c r="N62" s="1"/>
    </row>
    <row r="63" spans="2:15">
      <c r="B63" s="33"/>
      <c r="C63" s="1"/>
      <c r="D63" s="53" t="s">
        <v>158</v>
      </c>
      <c r="E63" s="1"/>
      <c r="F63" s="1"/>
      <c r="G63" s="1"/>
      <c r="H63" s="1"/>
      <c r="I63" s="1"/>
      <c r="J63" s="34" t="s">
        <v>72</v>
      </c>
      <c r="K63" s="136" t="s">
        <v>113</v>
      </c>
      <c r="L63" s="1" t="s">
        <v>113</v>
      </c>
      <c r="M63" s="1" t="s">
        <v>94</v>
      </c>
      <c r="N63" s="1" t="s">
        <v>157</v>
      </c>
      <c r="O63" s="1">
        <f t="shared" ref="O63:O67" si="8">COUNTIF($D:$D,D63)</f>
        <v>3</v>
      </c>
    </row>
    <row r="64" spans="2:15">
      <c r="B64" s="33"/>
      <c r="C64" s="1"/>
      <c r="D64" s="34" t="s">
        <v>159</v>
      </c>
      <c r="E64" s="1"/>
      <c r="F64" s="1"/>
      <c r="G64" s="1" t="s">
        <v>71</v>
      </c>
      <c r="H64" s="1" t="s">
        <v>71</v>
      </c>
      <c r="I64" s="1"/>
      <c r="J64" s="34" t="s">
        <v>72</v>
      </c>
      <c r="K64" s="136" t="s">
        <v>113</v>
      </c>
      <c r="L64" s="1" t="s">
        <v>113</v>
      </c>
      <c r="M64" s="1" t="s">
        <v>94</v>
      </c>
      <c r="N64" s="1"/>
      <c r="O64" s="1">
        <f t="shared" si="8"/>
        <v>1</v>
      </c>
    </row>
    <row r="65" spans="1:19">
      <c r="B65" s="33"/>
      <c r="C65" s="1"/>
      <c r="D65" s="43" t="s">
        <v>142</v>
      </c>
      <c r="E65" s="46"/>
      <c r="F65" s="46"/>
      <c r="G65" s="46"/>
      <c r="H65" s="46"/>
      <c r="I65" s="46"/>
      <c r="J65" s="43" t="s">
        <v>83</v>
      </c>
      <c r="K65" s="136" t="s">
        <v>125</v>
      </c>
      <c r="L65" s="1" t="s">
        <v>94</v>
      </c>
      <c r="M65" s="1" t="s">
        <v>94</v>
      </c>
      <c r="N65" s="1" t="s">
        <v>157</v>
      </c>
      <c r="O65" s="1">
        <f t="shared" si="8"/>
        <v>4</v>
      </c>
    </row>
    <row r="66" spans="1:19">
      <c r="B66" s="33"/>
      <c r="C66" s="1"/>
      <c r="D66" s="45" t="s">
        <v>147</v>
      </c>
      <c r="E66" s="54"/>
      <c r="F66" s="54"/>
      <c r="G66" s="54"/>
      <c r="H66" s="54"/>
      <c r="I66" s="54"/>
      <c r="J66" s="43" t="s">
        <v>83</v>
      </c>
      <c r="K66" s="136" t="s">
        <v>125</v>
      </c>
      <c r="L66" s="1" t="s">
        <v>94</v>
      </c>
      <c r="M66" s="1" t="s">
        <v>94</v>
      </c>
      <c r="N66" s="1" t="s">
        <v>157</v>
      </c>
      <c r="O66" s="1">
        <f t="shared" si="8"/>
        <v>3</v>
      </c>
    </row>
    <row r="67" spans="1:19">
      <c r="B67" s="33"/>
      <c r="C67" s="1"/>
      <c r="D67" s="45" t="s">
        <v>148</v>
      </c>
      <c r="E67" s="54"/>
      <c r="F67" s="54"/>
      <c r="G67" s="54"/>
      <c r="H67" s="54"/>
      <c r="I67" s="54"/>
      <c r="J67" s="43" t="s">
        <v>83</v>
      </c>
      <c r="K67" s="136" t="s">
        <v>125</v>
      </c>
      <c r="L67" s="1" t="s">
        <v>94</v>
      </c>
      <c r="M67" s="1" t="s">
        <v>94</v>
      </c>
      <c r="N67" s="1" t="s">
        <v>157</v>
      </c>
      <c r="O67" s="1">
        <f t="shared" si="8"/>
        <v>4</v>
      </c>
    </row>
    <row r="68" spans="1:19">
      <c r="B68" s="33"/>
      <c r="C68" s="1"/>
      <c r="D68" s="34"/>
      <c r="E68" s="1"/>
      <c r="F68" s="1"/>
      <c r="G68" s="1"/>
      <c r="H68" s="1"/>
      <c r="I68" s="1"/>
      <c r="J68" s="34"/>
      <c r="K68" s="136"/>
      <c r="L68" s="1"/>
      <c r="N68" s="1"/>
    </row>
    <row r="69" spans="1:19">
      <c r="B69" s="137" t="s">
        <v>160</v>
      </c>
      <c r="C69" s="1" t="s">
        <v>80</v>
      </c>
      <c r="D69" s="34" t="s">
        <v>161</v>
      </c>
      <c r="E69" s="1"/>
      <c r="F69" s="1"/>
      <c r="G69" s="1" t="s">
        <v>71</v>
      </c>
      <c r="H69" s="1"/>
      <c r="I69" s="1"/>
      <c r="J69" s="34" t="s">
        <v>72</v>
      </c>
      <c r="K69" s="136" t="s">
        <v>162</v>
      </c>
      <c r="L69" s="1" t="s">
        <v>101</v>
      </c>
      <c r="M69" s="1" t="s">
        <v>94</v>
      </c>
      <c r="N69" s="1"/>
      <c r="O69" s="1">
        <f t="shared" ref="O69:O70" si="9">COUNTIF($D:$D,D69)</f>
        <v>2</v>
      </c>
    </row>
    <row r="70" spans="1:19">
      <c r="B70" s="33"/>
      <c r="C70" s="1" t="s">
        <v>80</v>
      </c>
      <c r="D70" s="34" t="s">
        <v>161</v>
      </c>
      <c r="E70" s="1"/>
      <c r="F70" s="1"/>
      <c r="G70" s="1" t="s">
        <v>71</v>
      </c>
      <c r="H70" s="1"/>
      <c r="I70" s="1"/>
      <c r="J70" s="34" t="s">
        <v>83</v>
      </c>
      <c r="K70" s="136" t="s">
        <v>162</v>
      </c>
      <c r="L70" s="1" t="s">
        <v>101</v>
      </c>
      <c r="M70" s="1" t="s">
        <v>94</v>
      </c>
      <c r="N70" s="1"/>
      <c r="O70" s="1">
        <f t="shared" si="9"/>
        <v>2</v>
      </c>
    </row>
    <row r="71" spans="1:19">
      <c r="B71" s="33"/>
      <c r="C71" s="1" t="s">
        <v>69</v>
      </c>
      <c r="D71" s="36" t="s">
        <v>163</v>
      </c>
      <c r="E71" s="1"/>
      <c r="F71" s="1"/>
      <c r="G71" s="1" t="s">
        <v>71</v>
      </c>
      <c r="H71" s="1" t="s">
        <v>71</v>
      </c>
      <c r="I71" s="1"/>
      <c r="J71" s="34" t="s">
        <v>72</v>
      </c>
      <c r="K71" s="136" t="s">
        <v>162</v>
      </c>
      <c r="L71" s="1" t="s">
        <v>101</v>
      </c>
      <c r="M71" s="1" t="s">
        <v>101</v>
      </c>
      <c r="N71" s="1"/>
    </row>
    <row r="72" spans="1:19">
      <c r="B72" s="33"/>
      <c r="C72" s="1" t="s">
        <v>69</v>
      </c>
      <c r="D72" s="139" t="s">
        <v>164</v>
      </c>
      <c r="E72" s="1"/>
      <c r="F72" s="1"/>
      <c r="G72" s="1" t="s">
        <v>71</v>
      </c>
      <c r="H72" s="1" t="s">
        <v>71</v>
      </c>
      <c r="I72" s="1"/>
      <c r="J72" s="34" t="s">
        <v>72</v>
      </c>
      <c r="K72" s="136" t="s">
        <v>162</v>
      </c>
      <c r="L72" s="1" t="s">
        <v>101</v>
      </c>
      <c r="M72" s="1" t="s">
        <v>101</v>
      </c>
      <c r="N72" s="1"/>
    </row>
    <row r="73" spans="1:19">
      <c r="B73" s="33"/>
      <c r="C73" s="1" t="s">
        <v>69</v>
      </c>
      <c r="D73" s="140" t="s">
        <v>165</v>
      </c>
      <c r="E73" s="1"/>
      <c r="F73" s="1"/>
      <c r="G73" s="1" t="s">
        <v>71</v>
      </c>
      <c r="H73" s="1" t="s">
        <v>71</v>
      </c>
      <c r="I73" s="1"/>
      <c r="J73" s="34" t="s">
        <v>72</v>
      </c>
      <c r="K73" s="136" t="s">
        <v>162</v>
      </c>
      <c r="L73" s="1" t="s">
        <v>101</v>
      </c>
      <c r="M73" s="1" t="s">
        <v>101</v>
      </c>
      <c r="N73" s="1"/>
    </row>
    <row r="74" spans="1:19">
      <c r="B74" s="33"/>
      <c r="C74" s="1"/>
      <c r="D74" s="34"/>
      <c r="E74" s="1"/>
      <c r="F74" s="1"/>
      <c r="G74" s="1"/>
      <c r="H74" s="1"/>
      <c r="I74" s="1"/>
      <c r="J74" s="34"/>
      <c r="K74" s="136"/>
      <c r="L74" s="1"/>
      <c r="N74" s="1"/>
    </row>
    <row r="75" spans="1:19">
      <c r="B75" s="137" t="s">
        <v>166</v>
      </c>
      <c r="C75" s="1" t="s">
        <v>69</v>
      </c>
      <c r="D75" s="55" t="s">
        <v>167</v>
      </c>
      <c r="E75" s="1"/>
      <c r="F75" s="1"/>
      <c r="G75" s="1" t="s">
        <v>71</v>
      </c>
      <c r="H75" s="1" t="s">
        <v>71</v>
      </c>
      <c r="I75" s="1" t="s">
        <v>71</v>
      </c>
      <c r="J75" s="34" t="s">
        <v>72</v>
      </c>
      <c r="K75" s="136" t="s">
        <v>139</v>
      </c>
      <c r="L75" s="1" t="s">
        <v>101</v>
      </c>
      <c r="M75" s="1" t="s">
        <v>94</v>
      </c>
      <c r="N75" s="1" t="s">
        <v>168</v>
      </c>
      <c r="O75" s="1">
        <f t="shared" ref="O75:O77" si="10">COUNTIF($D:$D,D75)</f>
        <v>1</v>
      </c>
    </row>
    <row r="76" spans="1:19">
      <c r="A76" s="20"/>
      <c r="B76" s="33"/>
      <c r="C76" s="20" t="s">
        <v>80</v>
      </c>
      <c r="D76" s="55" t="s">
        <v>169</v>
      </c>
      <c r="E76" s="1"/>
      <c r="F76" s="1"/>
      <c r="G76" s="1" t="s">
        <v>71</v>
      </c>
      <c r="H76" s="1" t="s">
        <v>71</v>
      </c>
      <c r="I76" s="1"/>
      <c r="J76" s="38" t="s">
        <v>72</v>
      </c>
      <c r="K76" s="135" t="s">
        <v>139</v>
      </c>
      <c r="L76" s="20" t="s">
        <v>101</v>
      </c>
      <c r="M76" s="20" t="s">
        <v>94</v>
      </c>
      <c r="N76" s="20" t="s">
        <v>170</v>
      </c>
      <c r="O76" s="20">
        <f t="shared" si="10"/>
        <v>4</v>
      </c>
      <c r="P76" s="20"/>
      <c r="Q76" s="20"/>
      <c r="R76" s="20"/>
      <c r="S76" s="20"/>
    </row>
    <row r="77" spans="1:19">
      <c r="A77" s="20"/>
      <c r="B77" s="33"/>
      <c r="C77" s="20" t="s">
        <v>80</v>
      </c>
      <c r="D77" s="55" t="s">
        <v>169</v>
      </c>
      <c r="E77" s="1"/>
      <c r="F77" s="1"/>
      <c r="G77" s="1" t="s">
        <v>71</v>
      </c>
      <c r="H77" s="20"/>
      <c r="I77" s="20"/>
      <c r="J77" s="38" t="s">
        <v>83</v>
      </c>
      <c r="K77" s="135" t="s">
        <v>139</v>
      </c>
      <c r="L77" s="20" t="s">
        <v>101</v>
      </c>
      <c r="M77" s="20" t="s">
        <v>94</v>
      </c>
      <c r="N77" s="20" t="s">
        <v>170</v>
      </c>
      <c r="O77" s="20">
        <f t="shared" si="10"/>
        <v>4</v>
      </c>
      <c r="P77" s="20"/>
      <c r="Q77" s="20"/>
      <c r="R77" s="20"/>
      <c r="S77" s="20"/>
    </row>
    <row r="78" spans="1:19">
      <c r="B78" s="33"/>
      <c r="C78" s="56" t="s">
        <v>80</v>
      </c>
      <c r="D78" s="57" t="s">
        <v>171</v>
      </c>
      <c r="E78" s="1"/>
      <c r="F78" s="1"/>
      <c r="G78" s="1" t="s">
        <v>71</v>
      </c>
      <c r="H78" s="1" t="s">
        <v>71</v>
      </c>
      <c r="I78" s="1"/>
      <c r="J78" s="58" t="s">
        <v>72</v>
      </c>
      <c r="K78" s="136" t="s">
        <v>125</v>
      </c>
      <c r="L78" s="1" t="s">
        <v>101</v>
      </c>
      <c r="M78" s="1" t="s">
        <v>101</v>
      </c>
      <c r="N78" s="1" t="s">
        <v>168</v>
      </c>
    </row>
    <row r="79" spans="1:19">
      <c r="B79" s="33"/>
      <c r="C79" s="1" t="s">
        <v>80</v>
      </c>
      <c r="D79" s="59" t="s">
        <v>172</v>
      </c>
      <c r="E79" s="1"/>
      <c r="F79" s="1"/>
      <c r="G79" s="1" t="s">
        <v>71</v>
      </c>
      <c r="H79" s="1" t="s">
        <v>71</v>
      </c>
      <c r="I79" s="1"/>
      <c r="J79" s="34" t="s">
        <v>72</v>
      </c>
      <c r="K79" s="136" t="s">
        <v>125</v>
      </c>
      <c r="L79" s="1" t="s">
        <v>101</v>
      </c>
      <c r="M79" s="1" t="s">
        <v>94</v>
      </c>
      <c r="N79" s="1" t="s">
        <v>168</v>
      </c>
      <c r="O79" s="1">
        <f t="shared" ref="O79:O80" si="11">COUNTIF($D:$D,D79)</f>
        <v>4</v>
      </c>
    </row>
    <row r="80" spans="1:19">
      <c r="B80" s="33"/>
      <c r="C80" s="1" t="s">
        <v>80</v>
      </c>
      <c r="D80" s="59" t="s">
        <v>172</v>
      </c>
      <c r="E80" s="1"/>
      <c r="F80" s="1"/>
      <c r="G80" s="1" t="s">
        <v>71</v>
      </c>
      <c r="H80" s="1"/>
      <c r="I80" s="1"/>
      <c r="J80" s="34" t="s">
        <v>83</v>
      </c>
      <c r="K80" s="136" t="s">
        <v>125</v>
      </c>
      <c r="L80" s="1" t="s">
        <v>101</v>
      </c>
      <c r="M80" s="1" t="s">
        <v>94</v>
      </c>
      <c r="N80" s="1" t="s">
        <v>168</v>
      </c>
      <c r="O80" s="1">
        <f t="shared" si="11"/>
        <v>4</v>
      </c>
    </row>
    <row r="81" spans="1:19">
      <c r="B81" s="33"/>
      <c r="C81" s="1"/>
      <c r="D81" s="34"/>
      <c r="E81" s="1"/>
      <c r="F81" s="1"/>
      <c r="G81" s="1"/>
      <c r="H81" s="1"/>
      <c r="I81" s="1"/>
      <c r="J81" s="34"/>
      <c r="K81" s="136"/>
      <c r="L81" s="1"/>
      <c r="N81" s="1"/>
    </row>
    <row r="82" spans="1:19">
      <c r="B82" s="137" t="s">
        <v>173</v>
      </c>
      <c r="C82" s="1" t="s">
        <v>69</v>
      </c>
      <c r="D82" s="34" t="s">
        <v>141</v>
      </c>
      <c r="E82" s="1"/>
      <c r="F82" s="1"/>
      <c r="G82" s="1" t="s">
        <v>71</v>
      </c>
      <c r="H82" s="1" t="s">
        <v>71</v>
      </c>
      <c r="I82" s="1" t="s">
        <v>71</v>
      </c>
      <c r="J82" s="34" t="s">
        <v>72</v>
      </c>
      <c r="K82" s="136" t="s">
        <v>125</v>
      </c>
      <c r="L82" s="1" t="s">
        <v>109</v>
      </c>
      <c r="M82" s="1" t="s">
        <v>94</v>
      </c>
      <c r="N82" s="1"/>
      <c r="O82" s="1">
        <f t="shared" ref="O82:O83" si="12">COUNTIF($D:$D,D82)</f>
        <v>3</v>
      </c>
    </row>
    <row r="83" spans="1:19">
      <c r="B83" s="33"/>
      <c r="C83" s="1"/>
      <c r="D83" s="34" t="s">
        <v>174</v>
      </c>
      <c r="E83" s="1"/>
      <c r="F83" s="1"/>
      <c r="G83" s="1" t="s">
        <v>71</v>
      </c>
      <c r="H83" s="1" t="s">
        <v>71</v>
      </c>
      <c r="I83" s="1"/>
      <c r="J83" s="34" t="s">
        <v>72</v>
      </c>
      <c r="K83" s="136" t="s">
        <v>125</v>
      </c>
      <c r="L83" s="1" t="s">
        <v>109</v>
      </c>
      <c r="M83" s="1" t="s">
        <v>94</v>
      </c>
      <c r="N83" s="1"/>
      <c r="O83" s="1">
        <f t="shared" si="12"/>
        <v>1</v>
      </c>
    </row>
    <row r="84" spans="1:19">
      <c r="B84" s="33"/>
      <c r="C84" s="1"/>
      <c r="D84" s="34"/>
      <c r="E84" s="1"/>
      <c r="F84" s="1"/>
      <c r="G84" s="1"/>
      <c r="H84" s="1"/>
      <c r="I84" s="1"/>
      <c r="J84" s="34"/>
      <c r="K84" s="136"/>
      <c r="L84" s="1"/>
      <c r="N84" s="1"/>
    </row>
    <row r="85" spans="1:19">
      <c r="B85" s="137" t="s">
        <v>175</v>
      </c>
      <c r="C85" s="1" t="s">
        <v>80</v>
      </c>
      <c r="D85" s="34" t="s">
        <v>176</v>
      </c>
      <c r="E85" s="1" t="s">
        <v>177</v>
      </c>
      <c r="F85" s="1"/>
      <c r="G85" s="1" t="s">
        <v>71</v>
      </c>
      <c r="H85" s="1" t="s">
        <v>71</v>
      </c>
      <c r="I85" s="1"/>
      <c r="J85" s="34" t="s">
        <v>72</v>
      </c>
      <c r="K85" s="136" t="s">
        <v>125</v>
      </c>
      <c r="L85" s="1" t="s">
        <v>109</v>
      </c>
      <c r="M85" s="1" t="s">
        <v>101</v>
      </c>
      <c r="N85" s="1"/>
      <c r="O85" s="1">
        <f t="shared" ref="O85:O86" si="13">COUNTIF($D:$D,D85)</f>
        <v>1</v>
      </c>
    </row>
    <row r="86" spans="1:19">
      <c r="B86" s="33"/>
      <c r="C86" s="1"/>
      <c r="D86" s="34" t="s">
        <v>178</v>
      </c>
      <c r="E86" s="44" t="s">
        <v>177</v>
      </c>
      <c r="F86" s="44"/>
      <c r="G86" s="44"/>
      <c r="H86" s="44"/>
      <c r="I86" s="44"/>
      <c r="J86" s="34" t="s">
        <v>83</v>
      </c>
      <c r="K86" s="136" t="s">
        <v>125</v>
      </c>
      <c r="L86" s="1" t="s">
        <v>109</v>
      </c>
      <c r="M86" s="1" t="s">
        <v>101</v>
      </c>
      <c r="N86" s="1"/>
      <c r="O86" s="1">
        <f t="shared" si="13"/>
        <v>1</v>
      </c>
    </row>
    <row r="87" spans="1:19">
      <c r="B87" s="33"/>
      <c r="C87" s="1"/>
      <c r="D87" s="34"/>
      <c r="E87" s="1"/>
      <c r="F87" s="1"/>
      <c r="G87" s="1"/>
      <c r="H87" s="1"/>
      <c r="I87" s="1"/>
      <c r="J87" s="34"/>
      <c r="K87" s="1"/>
      <c r="M87" s="1"/>
    </row>
    <row r="88" spans="1:19">
      <c r="B88" s="137" t="s">
        <v>179</v>
      </c>
      <c r="C88" s="1" t="s">
        <v>80</v>
      </c>
      <c r="D88" s="53" t="s">
        <v>180</v>
      </c>
      <c r="I88" s="1"/>
      <c r="J88" s="34" t="s">
        <v>72</v>
      </c>
      <c r="K88" s="136" t="s">
        <v>125</v>
      </c>
      <c r="L88" s="1" t="s">
        <v>109</v>
      </c>
      <c r="M88" s="1" t="s">
        <v>101</v>
      </c>
      <c r="N88" s="1" t="s">
        <v>75</v>
      </c>
      <c r="O88" s="1">
        <f t="shared" ref="O88:O89" si="14">COUNTIF($D:$D,D88)</f>
        <v>3</v>
      </c>
    </row>
    <row r="89" spans="1:19">
      <c r="B89" s="33"/>
      <c r="C89" s="1"/>
      <c r="D89" s="53" t="s">
        <v>180</v>
      </c>
      <c r="F89" s="1"/>
      <c r="G89" s="1"/>
      <c r="H89" s="1"/>
      <c r="I89" s="1"/>
      <c r="J89" s="34" t="s">
        <v>83</v>
      </c>
      <c r="K89" s="136" t="s">
        <v>125</v>
      </c>
      <c r="L89" s="1" t="s">
        <v>109</v>
      </c>
      <c r="M89" s="1" t="s">
        <v>101</v>
      </c>
      <c r="N89" s="1" t="s">
        <v>75</v>
      </c>
      <c r="O89" s="1">
        <f t="shared" si="14"/>
        <v>3</v>
      </c>
    </row>
    <row r="90" spans="1:19">
      <c r="A90" s="33"/>
      <c r="C90" s="1"/>
      <c r="D90" s="34"/>
      <c r="E90" s="1"/>
      <c r="F90" s="1"/>
      <c r="G90" s="1"/>
      <c r="H90" s="1"/>
      <c r="I90" s="1"/>
      <c r="J90" s="34"/>
      <c r="K90" s="136"/>
      <c r="L90" s="1"/>
      <c r="N90" s="1"/>
    </row>
    <row r="91" spans="1:19">
      <c r="A91" s="60"/>
      <c r="B91" s="61"/>
      <c r="C91" s="60"/>
      <c r="D91" s="62"/>
      <c r="E91" s="60"/>
      <c r="F91" s="60"/>
      <c r="G91" s="60"/>
      <c r="H91" s="60"/>
      <c r="I91" s="60"/>
      <c r="J91" s="62"/>
      <c r="K91" s="60" t="s">
        <v>181</v>
      </c>
      <c r="L91" s="60"/>
      <c r="M91" s="60"/>
      <c r="N91" s="60"/>
      <c r="O91" s="60"/>
      <c r="P91" s="60"/>
      <c r="Q91" s="60"/>
      <c r="R91" s="60"/>
      <c r="S91" s="60"/>
    </row>
    <row r="92" spans="1:19">
      <c r="B92" s="63"/>
    </row>
    <row r="93" spans="1:19">
      <c r="B93" s="141" t="s">
        <v>182</v>
      </c>
      <c r="C93" s="1" t="s">
        <v>80</v>
      </c>
      <c r="D93" s="59" t="s">
        <v>183</v>
      </c>
      <c r="E93" s="134" t="s">
        <v>177</v>
      </c>
      <c r="F93" s="1"/>
      <c r="G93" s="1" t="s">
        <v>71</v>
      </c>
      <c r="H93" s="1" t="s">
        <v>71</v>
      </c>
      <c r="I93" s="1"/>
      <c r="J93" s="35" t="s">
        <v>72</v>
      </c>
      <c r="K93" s="136" t="s">
        <v>125</v>
      </c>
      <c r="L93" s="1" t="s">
        <v>109</v>
      </c>
      <c r="M93" s="1" t="s">
        <v>101</v>
      </c>
      <c r="O93" s="1">
        <f t="shared" ref="O93:O95" si="15">COUNTIF($D:$D,D93)</f>
        <v>2</v>
      </c>
    </row>
    <row r="94" spans="1:19">
      <c r="B94" s="63"/>
      <c r="C94" s="1" t="s">
        <v>80</v>
      </c>
      <c r="D94" s="64" t="s">
        <v>184</v>
      </c>
      <c r="E94" s="134" t="s">
        <v>177</v>
      </c>
      <c r="F94" s="1"/>
      <c r="G94" s="1" t="s">
        <v>71</v>
      </c>
      <c r="H94" s="1"/>
      <c r="I94" s="1"/>
      <c r="J94" s="37" t="s">
        <v>83</v>
      </c>
      <c r="K94" s="136" t="s">
        <v>125</v>
      </c>
      <c r="L94" s="1" t="s">
        <v>109</v>
      </c>
      <c r="M94" s="1" t="s">
        <v>101</v>
      </c>
      <c r="O94" s="1">
        <f t="shared" si="15"/>
        <v>2</v>
      </c>
    </row>
    <row r="95" spans="1:19">
      <c r="B95" s="65"/>
      <c r="C95" s="1" t="s">
        <v>80</v>
      </c>
      <c r="D95" s="66" t="s">
        <v>185</v>
      </c>
      <c r="E95" s="134" t="s">
        <v>177</v>
      </c>
      <c r="F95" s="1"/>
      <c r="G95" s="1"/>
      <c r="H95" s="1"/>
      <c r="I95" s="1"/>
      <c r="J95" s="67" t="s">
        <v>83</v>
      </c>
      <c r="K95" s="136" t="s">
        <v>125</v>
      </c>
      <c r="L95" s="1" t="s">
        <v>109</v>
      </c>
      <c r="M95" s="1" t="s">
        <v>101</v>
      </c>
      <c r="O95" s="1">
        <f t="shared" si="15"/>
        <v>1</v>
      </c>
    </row>
    <row r="96" spans="1:19">
      <c r="B96" s="65"/>
      <c r="C96" s="1"/>
      <c r="D96" s="66"/>
      <c r="E96" s="1"/>
      <c r="F96" s="1"/>
      <c r="G96" s="1"/>
      <c r="H96" s="1"/>
      <c r="I96" s="1"/>
      <c r="J96" s="68"/>
      <c r="K96" s="136"/>
    </row>
    <row r="97" spans="2:15">
      <c r="B97" s="141" t="s">
        <v>186</v>
      </c>
      <c r="C97" s="1" t="s">
        <v>80</v>
      </c>
      <c r="D97" s="34" t="s">
        <v>187</v>
      </c>
      <c r="E97" s="134" t="s">
        <v>177</v>
      </c>
      <c r="F97" s="1"/>
      <c r="G97" s="1" t="s">
        <v>71</v>
      </c>
      <c r="H97" s="1" t="s">
        <v>71</v>
      </c>
      <c r="I97" s="1"/>
      <c r="J97" s="31" t="s">
        <v>72</v>
      </c>
      <c r="K97" s="136" t="s">
        <v>125</v>
      </c>
      <c r="L97" s="1" t="s">
        <v>109</v>
      </c>
      <c r="M97" s="1" t="s">
        <v>101</v>
      </c>
      <c r="O97" s="1">
        <f t="shared" ref="O97:O99" si="16">COUNTIF($D:$D,D97)</f>
        <v>2</v>
      </c>
    </row>
    <row r="98" spans="2:15">
      <c r="B98" s="63"/>
      <c r="C98" s="1" t="s">
        <v>80</v>
      </c>
      <c r="D98" s="34" t="s">
        <v>187</v>
      </c>
      <c r="E98" s="134" t="s">
        <v>177</v>
      </c>
      <c r="F98" s="1"/>
      <c r="G98" s="1" t="s">
        <v>71</v>
      </c>
      <c r="H98" s="1"/>
      <c r="I98" s="1"/>
      <c r="J98" s="35" t="s">
        <v>83</v>
      </c>
      <c r="K98" s="136" t="s">
        <v>125</v>
      </c>
      <c r="L98" s="1" t="s">
        <v>109</v>
      </c>
      <c r="M98" s="1" t="s">
        <v>101</v>
      </c>
      <c r="O98" s="1">
        <f t="shared" si="16"/>
        <v>2</v>
      </c>
    </row>
    <row r="99" spans="2:15">
      <c r="B99" s="63"/>
      <c r="C99" s="1" t="s">
        <v>80</v>
      </c>
      <c r="D99" s="1" t="s">
        <v>188</v>
      </c>
      <c r="E99" s="134" t="s">
        <v>177</v>
      </c>
      <c r="J99" s="1" t="s">
        <v>83</v>
      </c>
      <c r="K99" s="136" t="s">
        <v>125</v>
      </c>
      <c r="L99" s="1" t="s">
        <v>109</v>
      </c>
      <c r="M99" s="1" t="s">
        <v>101</v>
      </c>
      <c r="O99" s="1">
        <f t="shared" si="16"/>
        <v>1</v>
      </c>
    </row>
    <row r="100" spans="2:15">
      <c r="B100" s="63"/>
    </row>
    <row r="101" spans="2:15">
      <c r="B101" s="142" t="s">
        <v>189</v>
      </c>
      <c r="C101" s="1" t="s">
        <v>80</v>
      </c>
      <c r="D101" s="59" t="s">
        <v>172</v>
      </c>
      <c r="E101" s="1"/>
      <c r="F101" s="1"/>
      <c r="G101" s="1" t="s">
        <v>71</v>
      </c>
      <c r="J101" s="1" t="s">
        <v>72</v>
      </c>
    </row>
    <row r="102" spans="2:15">
      <c r="B102" s="63"/>
      <c r="C102" s="1" t="s">
        <v>80</v>
      </c>
      <c r="D102" s="59" t="s">
        <v>172</v>
      </c>
      <c r="J102" s="1" t="s">
        <v>83</v>
      </c>
    </row>
    <row r="103" spans="2:15">
      <c r="B103" s="63"/>
    </row>
    <row r="104" spans="2:15">
      <c r="B104" s="142" t="s">
        <v>190</v>
      </c>
      <c r="C104" s="1" t="s">
        <v>80</v>
      </c>
      <c r="D104" s="55" t="s">
        <v>169</v>
      </c>
      <c r="E104" s="1"/>
      <c r="F104" s="1"/>
      <c r="G104" s="1" t="s">
        <v>71</v>
      </c>
      <c r="J104" s="1" t="s">
        <v>72</v>
      </c>
    </row>
    <row r="105" spans="2:15">
      <c r="B105" s="69"/>
      <c r="C105" s="1" t="s">
        <v>80</v>
      </c>
      <c r="D105" s="55" t="s">
        <v>169</v>
      </c>
      <c r="J105" s="1" t="s">
        <v>83</v>
      </c>
    </row>
    <row r="106" spans="2:15">
      <c r="B106" s="69"/>
    </row>
    <row r="107" spans="2:15">
      <c r="B107" s="143" t="s">
        <v>191</v>
      </c>
    </row>
    <row r="108" spans="2:15">
      <c r="B108" s="69"/>
    </row>
    <row r="109" spans="2:15">
      <c r="B109" s="143" t="s">
        <v>192</v>
      </c>
    </row>
  </sheetData>
  <customSheetViews>
    <customSheetView guid="{D6C437D9-C7DB-4EE7-8642-A34FD9E4D5B1}" filter="1" showAutoFilter="1">
      <autoFilter ref="B4:P109" xr:uid="{14CF70D4-E106-497A-8BF1-E1C09166DB3E}">
        <filterColumn colId="5">
          <filters>
            <filter val="◯"/>
          </filters>
        </filterColumn>
        <filterColumn colId="7">
          <filters blank="1"/>
        </filterColumn>
      </autoFilter>
    </customSheetView>
  </customSheetViews>
  <mergeCells count="1">
    <mergeCell ref="N47:N51"/>
  </mergeCells>
  <dataValidations count="2">
    <dataValidation type="list" allowBlank="1" showErrorMessage="1" sqref="L5:M18 L20:M21 L23:M25 L27:M27 L29:M36 L38:M43 L45:M55 L57:M67 L69:M73 L75:M80 L82:M83 L85:M86 L88:M89 L93:M95 L97:M99" xr:uid="{00000000-0002-0000-0300-000000000000}">
      <formula1>"未選択,Keane,荒尾,森永,水岡,辻"</formula1>
    </dataValidation>
    <dataValidation type="list" allowBlank="1" showErrorMessage="1" sqref="K5:K18 K20:K21 K23:K25 K27 K29:K36 K38:K43 K45:K55 K57:K67 K69:K73 K75:K80 K82:K83 K85:K86 K88:K89 K93:K95 K97:K99" xr:uid="{00000000-0002-0000-0300-000001000000}">
      <formula1>"API作業中,API PR完了,未選択,レビュー完了,修正依頼,修正 PR完了,修正作業中"</formula1>
    </dataValidation>
  </dataValidations>
  <hyperlinks>
    <hyperlink ref="B1" r:id="rId1" xr:uid="{00000000-0004-0000-0300-000000000000}"/>
    <hyperlink ref="B2" r:id="rId2" xr:uid="{00000000-0004-0000-0300-000001000000}"/>
    <hyperlink ref="B3" r:id="rId3" location="gid=1294591345" xr:uid="{00000000-0004-0000-0300-000002000000}"/>
    <hyperlink ref="B5" location="'レース一覧'!A1" display="レース一覧" xr:uid="{00000000-0004-0000-0300-000003000000}"/>
    <hyperlink ref="B20" location="'レース一覧 &gt; ファーストビュー(注目レース)'!A1" display="レース一覧 &gt; ファーストビュー" xr:uid="{00000000-0004-0000-0300-000004000000}"/>
    <hyperlink ref="B23" location="'レース一覧 &gt; アラート情報'!A1" display="レース一覧 &gt; アラート情報" xr:uid="{00000000-0004-0000-0300-000005000000}"/>
    <hyperlink ref="B27" location="'レース一覧 &gt; 重賞一覧'!A1" display="レース一覧 &gt; 重賞一覧" xr:uid="{00000000-0004-0000-0300-000006000000}"/>
    <hyperlink ref="B29" location="'レース詳細 '!A1" display="レース詳細" xr:uid="{00000000-0004-0000-0300-000007000000}"/>
    <hyperlink ref="B38" location="'レース詳細 &gt; ヘッダー'!A1" display="レース詳細 &gt; ヘッダー" xr:uid="{00000000-0004-0000-0300-000008000000}"/>
    <hyperlink ref="B45" location="'レース詳細 &gt; 出馬表'!A1" display="レース詳細 &gt; 出馬表" xr:uid="{00000000-0004-0000-0300-000009000000}"/>
    <hyperlink ref="B57" location="'レース詳細 &gt; 出馬表 &gt; カスタム出馬表'!A1" display="レース詳細 &gt; 出馬表 &gt; カスタム出馬表" xr:uid="{00000000-0004-0000-0300-00000A000000}"/>
    <hyperlink ref="B69" location="'レース詳細 &gt; 出馬表 &gt; カスタム出馬表 &gt; 表示設定'!A1" display="レース詳細 &gt; 出馬表 &gt; カスタム出馬表 &gt; 表示設定" xr:uid="{00000000-0004-0000-0300-00000B000000}"/>
    <hyperlink ref="B75" location="'レース詳細 &gt; 出馬表 &gt; みんなの予想'!A1" display="レース詳細 &gt; 出馬表 &gt; みんなの予想" xr:uid="{00000000-0004-0000-0300-00000C000000}"/>
    <hyperlink ref="B82" location="'レース詳細 &gt; 出馬表 &gt; オッズ×指数分布図'!A1" display="レース詳細 &gt; 出馬表 &gt; オッズ×指数分布図" xr:uid="{00000000-0004-0000-0300-00000D000000}"/>
    <hyperlink ref="B85" location="'レース詳細・レースメモ'!A1" display="レース詳細・レースメモ" xr:uid="{00000000-0004-0000-0300-00000E000000}"/>
    <hyperlink ref="B88" location="'レース詳細・馬メモ'!A1" display="レース詳細・馬メモ" xr:uid="{00000000-0004-0000-0300-00000F000000}"/>
    <hyperlink ref="B93" location="'レース詳細 &gt; 出馬表 &gt; MY馬登録モーダル'!A1" display="レース詳細 &gt; 出馬表 &gt; [MY馬登録モーダル]" xr:uid="{00000000-0004-0000-0300-000010000000}"/>
    <hyperlink ref="B97" location="'レース詳細 &gt; 出馬表 &gt; MY騎手登録モーダル'!A1" display="レース詳細 &gt; 出馬表 &gt; [MY騎手登録モーダル]" xr:uid="{00000000-0004-0000-0300-000011000000}"/>
    <hyperlink ref="B101" location="'レース詳細 &gt; 出馬表 &gt; レース予想入力用モーダル '!A1" display="レース詳細 &gt; 出馬表 &gt; [レース予想入力用モーダル]" xr:uid="{00000000-0004-0000-0300-000012000000}"/>
    <hyperlink ref="B104" location="'レース詳細 &gt; 出馬表 &gt; 最終コーナー展開MY予想モーダル'!A1" display="レース詳細 &gt; 出馬表 &gt; [最終コーナー展開予想登録モーダル]" xr:uid="{00000000-0004-0000-0300-000013000000}"/>
    <hyperlink ref="B107" location="'レース一覧 &gt; 条件絞り込みモーダル'!A1" display="レース一覧&gt;条件絞り込みモーダル" xr:uid="{00000000-0004-0000-0300-000014000000}"/>
    <hyperlink ref="B109" location="'共通モーダル・印メモ'!A1" display="レース詳細 &gt; 印メモ" xr:uid="{00000000-0004-0000-0300-000015000000}"/>
  </hyperlinks>
  <pageMargins left="0" right="0" top="0" bottom="0" header="0" footer="0"/>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09"/>
  <sheetViews>
    <sheetView workbookViewId="0">
      <pane xSplit="2" ySplit="4" topLeftCell="C5" activePane="bottomRight" state="frozen"/>
      <selection pane="bottomRight" activeCell="C5" sqref="C5"/>
      <selection pane="bottomLeft" activeCell="A5" sqref="A5"/>
      <selection pane="topRight" activeCell="C1" sqref="C1"/>
    </sheetView>
  </sheetViews>
  <sheetFormatPr defaultColWidth="12.5703125" defaultRowHeight="15.75" customHeight="1"/>
  <cols>
    <col min="2" max="2" width="47" customWidth="1"/>
    <col min="3" max="3" width="29.7109375" customWidth="1"/>
    <col min="4" max="4" width="8.5703125" customWidth="1"/>
    <col min="5" max="5" width="82.85546875" customWidth="1"/>
    <col min="6" max="10" width="12.7109375" customWidth="1"/>
    <col min="11" max="11" width="31" customWidth="1"/>
    <col min="12" max="12" width="31.28515625" customWidth="1"/>
    <col min="13" max="14" width="25.42578125" customWidth="1"/>
    <col min="15" max="15" width="44" customWidth="1"/>
    <col min="16" max="16" width="18.85546875" customWidth="1"/>
    <col min="17" max="17" width="19" customWidth="1"/>
  </cols>
  <sheetData>
    <row r="1" spans="1:17">
      <c r="A1" s="136"/>
      <c r="B1" s="3" t="s">
        <v>50</v>
      </c>
    </row>
    <row r="2" spans="1:17">
      <c r="B2" s="3" t="s">
        <v>51</v>
      </c>
    </row>
    <row r="3" spans="1:17">
      <c r="B3" s="24" t="s">
        <v>52</v>
      </c>
    </row>
    <row r="4" spans="1:17">
      <c r="B4" s="25" t="s">
        <v>53</v>
      </c>
      <c r="C4" s="26" t="s">
        <v>54</v>
      </c>
      <c r="D4" s="26"/>
      <c r="E4" s="26" t="s">
        <v>55</v>
      </c>
      <c r="F4" s="26" t="s">
        <v>56</v>
      </c>
      <c r="G4" s="26" t="s">
        <v>57</v>
      </c>
      <c r="H4" s="26" t="s">
        <v>58</v>
      </c>
      <c r="I4" s="26" t="s">
        <v>59</v>
      </c>
      <c r="J4" s="26" t="s">
        <v>60</v>
      </c>
      <c r="K4" s="27" t="s">
        <v>61</v>
      </c>
      <c r="L4" s="28" t="s">
        <v>62</v>
      </c>
      <c r="M4" s="28" t="s">
        <v>63</v>
      </c>
      <c r="N4" s="28" t="s">
        <v>64</v>
      </c>
      <c r="O4" s="28" t="s">
        <v>65</v>
      </c>
      <c r="P4" s="1" t="s">
        <v>66</v>
      </c>
      <c r="Q4" s="1" t="s">
        <v>67</v>
      </c>
    </row>
    <row r="5" spans="1:17">
      <c r="B5" s="137" t="s">
        <v>68</v>
      </c>
      <c r="C5" s="1" t="s">
        <v>69</v>
      </c>
      <c r="D5" s="1">
        <v>1</v>
      </c>
      <c r="E5" s="29" t="s">
        <v>70</v>
      </c>
      <c r="F5" s="1" t="s">
        <v>71</v>
      </c>
      <c r="G5" s="1" t="s">
        <v>71</v>
      </c>
      <c r="H5" s="1" t="s">
        <v>71</v>
      </c>
      <c r="I5" s="30"/>
      <c r="J5" s="30"/>
      <c r="K5" s="31" t="s">
        <v>72</v>
      </c>
      <c r="L5" s="136" t="s">
        <v>73</v>
      </c>
      <c r="M5" s="1" t="s">
        <v>74</v>
      </c>
      <c r="N5" s="1" t="s">
        <v>74</v>
      </c>
      <c r="O5" s="136" t="s">
        <v>75</v>
      </c>
      <c r="P5" s="1">
        <f t="shared" ref="P5:P18" si="0">COUNTIF($E:$E,E5)</f>
        <v>1</v>
      </c>
      <c r="Q5" s="32" t="s">
        <v>71</v>
      </c>
    </row>
    <row r="6" spans="1:17">
      <c r="B6" s="33"/>
      <c r="C6" s="1" t="s">
        <v>69</v>
      </c>
      <c r="D6" s="1">
        <v>1</v>
      </c>
      <c r="E6" s="34" t="s">
        <v>76</v>
      </c>
      <c r="F6" s="1" t="s">
        <v>71</v>
      </c>
      <c r="G6" s="1" t="s">
        <v>71</v>
      </c>
      <c r="H6" s="1" t="s">
        <v>71</v>
      </c>
      <c r="I6" s="1"/>
      <c r="J6" s="1"/>
      <c r="K6" s="35" t="s">
        <v>72</v>
      </c>
      <c r="L6" s="136" t="s">
        <v>73</v>
      </c>
      <c r="M6" s="1" t="s">
        <v>74</v>
      </c>
      <c r="N6" s="1" t="s">
        <v>74</v>
      </c>
      <c r="O6" s="136" t="s">
        <v>75</v>
      </c>
      <c r="P6" s="1">
        <f t="shared" si="0"/>
        <v>1</v>
      </c>
      <c r="Q6" s="32" t="s">
        <v>71</v>
      </c>
    </row>
    <row r="7" spans="1:17">
      <c r="B7" s="33"/>
      <c r="C7" s="1" t="s">
        <v>69</v>
      </c>
      <c r="D7" s="1">
        <v>1</v>
      </c>
      <c r="E7" s="34" t="s">
        <v>77</v>
      </c>
      <c r="F7" s="1" t="s">
        <v>71</v>
      </c>
      <c r="G7" s="1" t="s">
        <v>71</v>
      </c>
      <c r="H7" s="1" t="s">
        <v>71</v>
      </c>
      <c r="I7" s="1"/>
      <c r="J7" s="1"/>
      <c r="K7" s="36" t="s">
        <v>72</v>
      </c>
      <c r="L7" s="136" t="s">
        <v>73</v>
      </c>
      <c r="M7" s="1" t="s">
        <v>74</v>
      </c>
      <c r="N7" s="1" t="s">
        <v>74</v>
      </c>
      <c r="O7" s="136" t="s">
        <v>75</v>
      </c>
      <c r="P7" s="1">
        <f t="shared" si="0"/>
        <v>1</v>
      </c>
      <c r="Q7" s="32" t="s">
        <v>71</v>
      </c>
    </row>
    <row r="8" spans="1:17">
      <c r="B8" s="33"/>
      <c r="C8" s="1"/>
      <c r="D8" s="1">
        <v>1</v>
      </c>
      <c r="E8" s="34" t="s">
        <v>78</v>
      </c>
      <c r="F8" s="1"/>
      <c r="G8" s="1"/>
      <c r="H8" s="1"/>
      <c r="I8" s="1"/>
      <c r="J8" s="1"/>
      <c r="K8" s="35" t="s">
        <v>72</v>
      </c>
      <c r="L8" s="136" t="s">
        <v>73</v>
      </c>
      <c r="M8" s="1" t="s">
        <v>74</v>
      </c>
      <c r="N8" s="1" t="s">
        <v>74</v>
      </c>
      <c r="O8" s="1" t="s">
        <v>79</v>
      </c>
      <c r="P8" s="1">
        <f t="shared" si="0"/>
        <v>1</v>
      </c>
    </row>
    <row r="9" spans="1:17">
      <c r="B9" s="33"/>
      <c r="C9" s="1" t="s">
        <v>80</v>
      </c>
      <c r="D9" s="1">
        <v>1</v>
      </c>
      <c r="E9" s="34" t="s">
        <v>81</v>
      </c>
      <c r="F9" s="1" t="s">
        <v>193</v>
      </c>
      <c r="G9" s="1"/>
      <c r="H9" s="1"/>
      <c r="I9" s="1"/>
      <c r="J9" s="1"/>
      <c r="K9" s="35" t="s">
        <v>72</v>
      </c>
      <c r="L9" s="136" t="s">
        <v>73</v>
      </c>
      <c r="M9" s="1" t="s">
        <v>74</v>
      </c>
      <c r="N9" s="1" t="s">
        <v>74</v>
      </c>
      <c r="O9" s="1" t="s">
        <v>79</v>
      </c>
      <c r="P9" s="1">
        <f t="shared" si="0"/>
        <v>1</v>
      </c>
    </row>
    <row r="10" spans="1:17">
      <c r="B10" s="33"/>
      <c r="C10" s="1" t="s">
        <v>80</v>
      </c>
      <c r="D10" s="1">
        <v>1</v>
      </c>
      <c r="E10" s="34" t="s">
        <v>82</v>
      </c>
      <c r="F10" s="1" t="s">
        <v>71</v>
      </c>
      <c r="G10" s="1"/>
      <c r="H10" s="1" t="s">
        <v>71</v>
      </c>
      <c r="I10" s="1" t="s">
        <v>71</v>
      </c>
      <c r="J10" s="1"/>
      <c r="K10" s="35" t="s">
        <v>72</v>
      </c>
      <c r="L10" s="136" t="s">
        <v>73</v>
      </c>
      <c r="M10" s="1" t="s">
        <v>74</v>
      </c>
      <c r="N10" s="1" t="s">
        <v>74</v>
      </c>
      <c r="O10" s="1" t="s">
        <v>79</v>
      </c>
      <c r="P10" s="1">
        <f t="shared" si="0"/>
        <v>2</v>
      </c>
      <c r="Q10" s="32" t="s">
        <v>71</v>
      </c>
    </row>
    <row r="11" spans="1:17">
      <c r="B11" s="33"/>
      <c r="C11" s="1" t="s">
        <v>80</v>
      </c>
      <c r="D11" s="1">
        <v>1</v>
      </c>
      <c r="E11" s="34" t="s">
        <v>82</v>
      </c>
      <c r="F11" s="1" t="s">
        <v>71</v>
      </c>
      <c r="G11" s="1"/>
      <c r="H11" s="1" t="s">
        <v>71</v>
      </c>
      <c r="I11" s="1"/>
      <c r="J11" s="1"/>
      <c r="K11" s="35" t="s">
        <v>83</v>
      </c>
      <c r="L11" s="136" t="s">
        <v>73</v>
      </c>
      <c r="M11" s="1" t="s">
        <v>74</v>
      </c>
      <c r="N11" s="1" t="s">
        <v>74</v>
      </c>
      <c r="O11" s="1" t="s">
        <v>79</v>
      </c>
      <c r="P11" s="1">
        <f t="shared" si="0"/>
        <v>2</v>
      </c>
      <c r="Q11" s="32" t="s">
        <v>71</v>
      </c>
    </row>
    <row r="12" spans="1:17">
      <c r="B12" s="33"/>
      <c r="C12" s="1" t="s">
        <v>80</v>
      </c>
      <c r="D12" s="1">
        <v>1</v>
      </c>
      <c r="E12" s="34" t="s">
        <v>84</v>
      </c>
      <c r="F12" s="1" t="s">
        <v>71</v>
      </c>
      <c r="G12" s="1"/>
      <c r="H12" s="1"/>
      <c r="I12" s="1"/>
      <c r="J12" s="1"/>
      <c r="K12" s="35" t="s">
        <v>72</v>
      </c>
      <c r="L12" s="136" t="s">
        <v>73</v>
      </c>
      <c r="M12" s="1" t="s">
        <v>74</v>
      </c>
      <c r="N12" s="1" t="s">
        <v>74</v>
      </c>
      <c r="O12" s="1" t="s">
        <v>79</v>
      </c>
      <c r="P12" s="1">
        <f t="shared" si="0"/>
        <v>2</v>
      </c>
      <c r="Q12" s="32" t="s">
        <v>71</v>
      </c>
    </row>
    <row r="13" spans="1:17">
      <c r="B13" s="33"/>
      <c r="C13" s="1" t="s">
        <v>80</v>
      </c>
      <c r="D13" s="1">
        <v>1</v>
      </c>
      <c r="E13" s="34" t="s">
        <v>84</v>
      </c>
      <c r="F13" s="1" t="s">
        <v>71</v>
      </c>
      <c r="G13" s="1"/>
      <c r="H13" s="1"/>
      <c r="I13" s="1"/>
      <c r="J13" s="1"/>
      <c r="K13" s="35" t="s">
        <v>83</v>
      </c>
      <c r="L13" s="136" t="s">
        <v>73</v>
      </c>
      <c r="M13" s="1" t="s">
        <v>74</v>
      </c>
      <c r="N13" s="1" t="s">
        <v>74</v>
      </c>
      <c r="O13" s="1" t="s">
        <v>79</v>
      </c>
      <c r="P13" s="1">
        <f t="shared" si="0"/>
        <v>2</v>
      </c>
      <c r="Q13" s="32" t="s">
        <v>71</v>
      </c>
    </row>
    <row r="14" spans="1:17">
      <c r="B14" s="33"/>
      <c r="C14" s="1" t="s">
        <v>80</v>
      </c>
      <c r="D14" s="1">
        <v>1</v>
      </c>
      <c r="E14" s="34" t="s">
        <v>85</v>
      </c>
      <c r="F14" s="1" t="s">
        <v>71</v>
      </c>
      <c r="G14" s="1"/>
      <c r="H14" s="1" t="s">
        <v>71</v>
      </c>
      <c r="I14" s="1" t="s">
        <v>194</v>
      </c>
      <c r="J14" s="1"/>
      <c r="K14" s="35" t="s">
        <v>72</v>
      </c>
      <c r="L14" s="136" t="s">
        <v>73</v>
      </c>
      <c r="M14" s="1" t="s">
        <v>74</v>
      </c>
      <c r="N14" s="1" t="s">
        <v>74</v>
      </c>
      <c r="O14" s="1" t="s">
        <v>86</v>
      </c>
      <c r="P14" s="1">
        <f t="shared" si="0"/>
        <v>1</v>
      </c>
    </row>
    <row r="15" spans="1:17">
      <c r="B15" s="33"/>
      <c r="C15" s="1" t="s">
        <v>80</v>
      </c>
      <c r="D15" s="1">
        <v>1</v>
      </c>
      <c r="E15" s="34" t="s">
        <v>87</v>
      </c>
      <c r="F15" s="1" t="s">
        <v>71</v>
      </c>
      <c r="G15" s="1"/>
      <c r="H15" s="1" t="s">
        <v>71</v>
      </c>
      <c r="I15" s="1"/>
      <c r="J15" s="1"/>
      <c r="K15" s="35" t="s">
        <v>83</v>
      </c>
      <c r="L15" s="136" t="s">
        <v>73</v>
      </c>
      <c r="M15" s="1" t="s">
        <v>74</v>
      </c>
      <c r="N15" s="1" t="s">
        <v>74</v>
      </c>
      <c r="O15" s="1" t="s">
        <v>79</v>
      </c>
      <c r="P15" s="1">
        <f t="shared" si="0"/>
        <v>1</v>
      </c>
    </row>
    <row r="16" spans="1:17">
      <c r="B16" s="33"/>
      <c r="C16" s="1" t="s">
        <v>80</v>
      </c>
      <c r="D16" s="1">
        <v>1</v>
      </c>
      <c r="E16" s="34" t="s">
        <v>88</v>
      </c>
      <c r="F16" s="1" t="s">
        <v>71</v>
      </c>
      <c r="G16" s="1"/>
      <c r="H16" s="1" t="s">
        <v>71</v>
      </c>
      <c r="I16" s="1"/>
      <c r="J16" s="1"/>
      <c r="K16" s="35" t="s">
        <v>89</v>
      </c>
      <c r="L16" s="136" t="s">
        <v>73</v>
      </c>
      <c r="M16" s="1" t="s">
        <v>74</v>
      </c>
      <c r="N16" s="1" t="s">
        <v>74</v>
      </c>
      <c r="O16" s="1" t="s">
        <v>79</v>
      </c>
      <c r="P16" s="1">
        <f t="shared" si="0"/>
        <v>1</v>
      </c>
    </row>
    <row r="17" spans="2:17">
      <c r="B17" s="33"/>
      <c r="C17" s="1" t="s">
        <v>80</v>
      </c>
      <c r="D17" s="1">
        <v>1</v>
      </c>
      <c r="E17" s="34" t="s">
        <v>90</v>
      </c>
      <c r="F17" s="1" t="s">
        <v>71</v>
      </c>
      <c r="G17" s="1"/>
      <c r="H17" s="1" t="s">
        <v>71</v>
      </c>
      <c r="I17" s="1"/>
      <c r="J17" s="1"/>
      <c r="K17" s="35" t="s">
        <v>83</v>
      </c>
      <c r="L17" s="136" t="s">
        <v>73</v>
      </c>
      <c r="M17" s="1" t="s">
        <v>74</v>
      </c>
      <c r="N17" s="1" t="s">
        <v>74</v>
      </c>
      <c r="O17" s="1" t="s">
        <v>79</v>
      </c>
      <c r="P17" s="1">
        <f t="shared" si="0"/>
        <v>1</v>
      </c>
    </row>
    <row r="18" spans="2:17">
      <c r="B18" s="33"/>
      <c r="C18" s="1" t="s">
        <v>80</v>
      </c>
      <c r="D18" s="1">
        <v>1</v>
      </c>
      <c r="E18" s="34" t="s">
        <v>91</v>
      </c>
      <c r="F18" s="1" t="s">
        <v>71</v>
      </c>
      <c r="G18" s="1"/>
      <c r="H18" s="1" t="s">
        <v>71</v>
      </c>
      <c r="I18" s="1"/>
      <c r="J18" s="1"/>
      <c r="K18" s="36" t="s">
        <v>89</v>
      </c>
      <c r="L18" s="136" t="s">
        <v>73</v>
      </c>
      <c r="M18" s="1" t="s">
        <v>74</v>
      </c>
      <c r="N18" s="1" t="s">
        <v>74</v>
      </c>
      <c r="O18" s="1" t="s">
        <v>79</v>
      </c>
      <c r="P18" s="1">
        <f t="shared" si="0"/>
        <v>1</v>
      </c>
    </row>
    <row r="19" spans="2:17">
      <c r="B19" s="33"/>
      <c r="C19" s="1"/>
      <c r="D19" s="1"/>
      <c r="E19" s="34"/>
      <c r="F19" s="1"/>
      <c r="G19" s="1"/>
      <c r="H19" s="1"/>
      <c r="I19" s="1"/>
      <c r="J19" s="1"/>
      <c r="K19" s="34"/>
      <c r="L19" s="136"/>
      <c r="M19" s="1"/>
      <c r="O19" s="1"/>
    </row>
    <row r="20" spans="2:17">
      <c r="B20" s="137" t="s">
        <v>92</v>
      </c>
      <c r="C20" s="1" t="s">
        <v>69</v>
      </c>
      <c r="D20" s="1">
        <v>1</v>
      </c>
      <c r="E20" s="34" t="s">
        <v>93</v>
      </c>
      <c r="F20" s="1" t="s">
        <v>195</v>
      </c>
      <c r="G20" s="1"/>
      <c r="H20" s="1" t="s">
        <v>71</v>
      </c>
      <c r="I20" s="1" t="s">
        <v>71</v>
      </c>
      <c r="J20" s="1"/>
      <c r="K20" s="37" t="s">
        <v>72</v>
      </c>
      <c r="L20" s="136" t="s">
        <v>73</v>
      </c>
      <c r="M20" s="1" t="s">
        <v>94</v>
      </c>
      <c r="N20" s="1" t="s">
        <v>94</v>
      </c>
      <c r="O20" s="1" t="s">
        <v>95</v>
      </c>
      <c r="P20" s="1">
        <f t="shared" ref="P20:P21" si="1">COUNTIF($E:$E,E20)</f>
        <v>1</v>
      </c>
    </row>
    <row r="21" spans="2:17">
      <c r="B21" s="33"/>
      <c r="C21" s="1" t="s">
        <v>80</v>
      </c>
      <c r="D21" s="1">
        <v>1</v>
      </c>
      <c r="E21" s="34" t="s">
        <v>196</v>
      </c>
      <c r="F21" s="1" t="s">
        <v>197</v>
      </c>
      <c r="G21" s="1"/>
      <c r="H21" s="1"/>
      <c r="I21" s="1"/>
      <c r="J21" s="1"/>
      <c r="K21" s="34" t="s">
        <v>72</v>
      </c>
      <c r="L21" s="136" t="s">
        <v>73</v>
      </c>
      <c r="M21" s="1" t="s">
        <v>94</v>
      </c>
      <c r="N21" s="1" t="s">
        <v>94</v>
      </c>
      <c r="O21" s="1" t="s">
        <v>97</v>
      </c>
      <c r="P21" s="1">
        <f t="shared" si="1"/>
        <v>1</v>
      </c>
    </row>
    <row r="22" spans="2:17">
      <c r="B22" s="33"/>
      <c r="C22" s="1"/>
      <c r="D22" s="1"/>
      <c r="E22" s="34"/>
      <c r="F22" s="1"/>
      <c r="G22" s="1"/>
      <c r="H22" s="1"/>
      <c r="I22" s="1"/>
      <c r="J22" s="1"/>
      <c r="K22" s="34"/>
      <c r="L22" s="136"/>
      <c r="M22" s="1"/>
      <c r="O22" s="1"/>
    </row>
    <row r="23" spans="2:17">
      <c r="B23" s="137" t="s">
        <v>98</v>
      </c>
      <c r="C23" s="1" t="s">
        <v>69</v>
      </c>
      <c r="D23" s="1">
        <v>1</v>
      </c>
      <c r="E23" s="34" t="s">
        <v>99</v>
      </c>
      <c r="F23" s="1" t="s">
        <v>100</v>
      </c>
      <c r="G23" s="1"/>
      <c r="H23" s="1" t="s">
        <v>71</v>
      </c>
      <c r="I23" s="1"/>
      <c r="J23" s="1"/>
      <c r="K23" s="34" t="s">
        <v>72</v>
      </c>
      <c r="L23" s="136" t="s">
        <v>73</v>
      </c>
      <c r="M23" s="1" t="s">
        <v>101</v>
      </c>
      <c r="N23" s="1" t="s">
        <v>74</v>
      </c>
      <c r="O23" s="1" t="s">
        <v>102</v>
      </c>
      <c r="P23" s="1">
        <f t="shared" ref="P23:P25" si="2">COUNTIF($E:$E,E23)</f>
        <v>1</v>
      </c>
    </row>
    <row r="24" spans="2:17">
      <c r="B24" s="33"/>
      <c r="C24" s="1" t="s">
        <v>80</v>
      </c>
      <c r="D24" s="1">
        <v>1</v>
      </c>
      <c r="E24" s="34" t="s">
        <v>103</v>
      </c>
      <c r="F24" s="1" t="s">
        <v>100</v>
      </c>
      <c r="G24" s="1"/>
      <c r="H24" s="1" t="s">
        <v>71</v>
      </c>
      <c r="I24" s="1" t="s">
        <v>71</v>
      </c>
      <c r="J24" s="1"/>
      <c r="K24" s="34" t="s">
        <v>72</v>
      </c>
      <c r="L24" s="136" t="s">
        <v>73</v>
      </c>
      <c r="M24" s="1" t="s">
        <v>101</v>
      </c>
      <c r="N24" s="1" t="s">
        <v>74</v>
      </c>
      <c r="O24" s="1" t="s">
        <v>104</v>
      </c>
      <c r="P24" s="1">
        <f t="shared" si="2"/>
        <v>1</v>
      </c>
    </row>
    <row r="25" spans="2:17">
      <c r="B25" s="33"/>
      <c r="C25" s="1" t="s">
        <v>80</v>
      </c>
      <c r="D25" s="1">
        <v>1</v>
      </c>
      <c r="E25" s="34" t="s">
        <v>198</v>
      </c>
      <c r="F25" s="1" t="s">
        <v>100</v>
      </c>
      <c r="G25" s="1"/>
      <c r="H25" s="1" t="s">
        <v>71</v>
      </c>
      <c r="I25" s="1"/>
      <c r="J25" s="1"/>
      <c r="K25" s="34" t="s">
        <v>72</v>
      </c>
      <c r="L25" s="136" t="s">
        <v>73</v>
      </c>
      <c r="M25" s="1" t="s">
        <v>101</v>
      </c>
      <c r="N25" s="1" t="s">
        <v>74</v>
      </c>
      <c r="O25" s="1" t="s">
        <v>79</v>
      </c>
      <c r="P25" s="1">
        <f t="shared" si="2"/>
        <v>1</v>
      </c>
    </row>
    <row r="26" spans="2:17">
      <c r="B26" s="33"/>
      <c r="C26" s="1"/>
      <c r="D26" s="1"/>
      <c r="E26" s="34"/>
      <c r="F26" s="1"/>
      <c r="G26" s="1"/>
      <c r="H26" s="1"/>
      <c r="I26" s="1"/>
      <c r="J26" s="1"/>
      <c r="K26" s="34"/>
      <c r="L26" s="136"/>
      <c r="M26" s="1"/>
      <c r="O26" s="1"/>
    </row>
    <row r="27" spans="2:17">
      <c r="B27" s="137" t="s">
        <v>106</v>
      </c>
      <c r="C27" s="1" t="s">
        <v>69</v>
      </c>
      <c r="D27" s="1">
        <v>1</v>
      </c>
      <c r="E27" s="34" t="s">
        <v>107</v>
      </c>
      <c r="F27" s="1" t="s">
        <v>108</v>
      </c>
      <c r="G27" s="1"/>
      <c r="H27" s="1"/>
      <c r="I27" s="1"/>
      <c r="J27" s="1"/>
      <c r="K27" s="34" t="s">
        <v>72</v>
      </c>
      <c r="L27" s="136" t="s">
        <v>73</v>
      </c>
      <c r="M27" s="1" t="s">
        <v>109</v>
      </c>
      <c r="N27" s="1" t="s">
        <v>101</v>
      </c>
      <c r="O27" s="1" t="s">
        <v>110</v>
      </c>
      <c r="P27" s="1">
        <f>COUNTIF($E:$E,E27)</f>
        <v>1</v>
      </c>
    </row>
    <row r="28" spans="2:17">
      <c r="B28" s="33"/>
      <c r="C28" s="1"/>
      <c r="D28" s="1"/>
      <c r="E28" s="34"/>
      <c r="F28" s="1"/>
      <c r="G28" s="1"/>
      <c r="H28" s="1"/>
      <c r="I28" s="1"/>
      <c r="J28" s="1"/>
      <c r="K28" s="34"/>
      <c r="L28" s="136"/>
      <c r="M28" s="1"/>
      <c r="O28" s="1"/>
    </row>
    <row r="29" spans="2:17" hidden="1">
      <c r="B29" s="137" t="s">
        <v>111</v>
      </c>
      <c r="C29" s="1" t="s">
        <v>69</v>
      </c>
      <c r="D29" s="1"/>
      <c r="E29" s="34" t="s">
        <v>112</v>
      </c>
      <c r="F29" s="1"/>
      <c r="H29" s="1"/>
      <c r="I29" s="1"/>
      <c r="J29" s="1"/>
      <c r="K29" s="34" t="s">
        <v>72</v>
      </c>
      <c r="L29" s="136" t="s">
        <v>73</v>
      </c>
      <c r="M29" s="1" t="s">
        <v>113</v>
      </c>
      <c r="N29" s="1" t="s">
        <v>113</v>
      </c>
      <c r="O29" s="1" t="s">
        <v>114</v>
      </c>
      <c r="P29" s="1">
        <f t="shared" ref="P29:P36" si="3">COUNTIF($E:$E,E29)</f>
        <v>2</v>
      </c>
    </row>
    <row r="30" spans="2:17">
      <c r="B30" s="137" t="s">
        <v>111</v>
      </c>
      <c r="C30" s="1" t="s">
        <v>69</v>
      </c>
      <c r="D30" s="1"/>
      <c r="E30" s="34" t="s">
        <v>115</v>
      </c>
      <c r="F30" s="1" t="s">
        <v>199</v>
      </c>
      <c r="G30" s="1"/>
      <c r="H30" s="1"/>
      <c r="I30" s="1"/>
      <c r="J30" s="1"/>
      <c r="K30" s="34" t="s">
        <v>72</v>
      </c>
      <c r="L30" s="136" t="s">
        <v>73</v>
      </c>
      <c r="M30" s="1" t="s">
        <v>109</v>
      </c>
      <c r="N30" s="1" t="s">
        <v>113</v>
      </c>
      <c r="O30" s="1" t="s">
        <v>116</v>
      </c>
      <c r="P30" s="1">
        <f t="shared" si="3"/>
        <v>1</v>
      </c>
    </row>
    <row r="31" spans="2:17">
      <c r="B31" s="33"/>
      <c r="C31" s="1" t="s">
        <v>69</v>
      </c>
      <c r="D31" s="1"/>
      <c r="E31" s="34" t="s">
        <v>117</v>
      </c>
      <c r="F31" s="1" t="s">
        <v>71</v>
      </c>
      <c r="G31" s="1"/>
      <c r="H31" s="1" t="s">
        <v>71</v>
      </c>
      <c r="I31" s="1"/>
      <c r="J31" s="1"/>
      <c r="K31" s="34" t="s">
        <v>72</v>
      </c>
      <c r="L31" s="136" t="s">
        <v>73</v>
      </c>
      <c r="M31" s="1" t="s">
        <v>74</v>
      </c>
      <c r="N31" s="1" t="s">
        <v>113</v>
      </c>
      <c r="O31" s="1" t="s">
        <v>118</v>
      </c>
      <c r="P31" s="1">
        <f t="shared" si="3"/>
        <v>1</v>
      </c>
    </row>
    <row r="32" spans="2:17" hidden="1">
      <c r="B32" s="33"/>
      <c r="C32" s="1" t="s">
        <v>69</v>
      </c>
      <c r="D32" s="1"/>
      <c r="E32" s="29" t="s">
        <v>119</v>
      </c>
      <c r="F32" s="30"/>
      <c r="G32" s="30"/>
      <c r="H32" s="30"/>
      <c r="I32" s="30"/>
      <c r="J32" s="30"/>
      <c r="K32" s="34" t="s">
        <v>72</v>
      </c>
      <c r="L32" s="136" t="s">
        <v>73</v>
      </c>
      <c r="M32" s="1" t="s">
        <v>109</v>
      </c>
      <c r="N32" s="1" t="s">
        <v>113</v>
      </c>
      <c r="O32" s="1" t="s">
        <v>75</v>
      </c>
      <c r="P32" s="1">
        <f t="shared" si="3"/>
        <v>1</v>
      </c>
      <c r="Q32" s="1" t="s">
        <v>71</v>
      </c>
    </row>
    <row r="33" spans="1:20" hidden="1">
      <c r="B33" s="33"/>
      <c r="C33" s="1" t="s">
        <v>69</v>
      </c>
      <c r="D33" s="1"/>
      <c r="E33" s="34" t="s">
        <v>120</v>
      </c>
      <c r="F33" s="1" t="s">
        <v>71</v>
      </c>
      <c r="G33" s="1"/>
      <c r="H33" s="1"/>
      <c r="I33" s="1"/>
      <c r="J33" s="1"/>
      <c r="K33" s="34" t="s">
        <v>72</v>
      </c>
      <c r="L33" s="136" t="s">
        <v>73</v>
      </c>
      <c r="M33" s="1" t="s">
        <v>109</v>
      </c>
      <c r="N33" s="1" t="s">
        <v>113</v>
      </c>
      <c r="O33" s="1" t="s">
        <v>75</v>
      </c>
      <c r="P33" s="1">
        <f t="shared" si="3"/>
        <v>1</v>
      </c>
      <c r="Q33" s="1" t="s">
        <v>71</v>
      </c>
    </row>
    <row r="34" spans="1:20" hidden="1">
      <c r="B34" s="33"/>
      <c r="C34" s="1" t="s">
        <v>69</v>
      </c>
      <c r="D34" s="1"/>
      <c r="E34" s="34" t="s">
        <v>121</v>
      </c>
      <c r="F34" s="1" t="s">
        <v>71</v>
      </c>
      <c r="G34" s="1"/>
      <c r="H34" s="1"/>
      <c r="I34" s="1"/>
      <c r="J34" s="1"/>
      <c r="K34" s="34" t="s">
        <v>72</v>
      </c>
      <c r="L34" s="136" t="s">
        <v>73</v>
      </c>
      <c r="M34" s="1" t="s">
        <v>109</v>
      </c>
      <c r="N34" s="1" t="s">
        <v>113</v>
      </c>
      <c r="O34" s="1" t="s">
        <v>75</v>
      </c>
      <c r="P34" s="1">
        <f t="shared" si="3"/>
        <v>1</v>
      </c>
      <c r="Q34" s="1" t="s">
        <v>71</v>
      </c>
    </row>
    <row r="35" spans="1:20">
      <c r="A35" s="20"/>
      <c r="B35" s="33"/>
      <c r="C35" s="20" t="s">
        <v>69</v>
      </c>
      <c r="D35" s="20">
        <v>1</v>
      </c>
      <c r="E35" s="38" t="s">
        <v>122</v>
      </c>
      <c r="F35" s="20"/>
      <c r="G35" s="20"/>
      <c r="H35" s="20"/>
      <c r="I35" s="20"/>
      <c r="J35" s="20"/>
      <c r="K35" s="38" t="s">
        <v>72</v>
      </c>
      <c r="L35" s="135" t="s">
        <v>73</v>
      </c>
      <c r="M35" s="20" t="s">
        <v>101</v>
      </c>
      <c r="N35" s="20" t="s">
        <v>113</v>
      </c>
      <c r="O35" s="20" t="s">
        <v>123</v>
      </c>
      <c r="P35" s="20">
        <f t="shared" si="3"/>
        <v>1</v>
      </c>
      <c r="Q35" s="20"/>
      <c r="R35" s="20"/>
      <c r="S35" s="20"/>
      <c r="T35" s="20"/>
    </row>
    <row r="36" spans="1:20">
      <c r="B36" s="33"/>
      <c r="C36" s="1" t="s">
        <v>69</v>
      </c>
      <c r="D36" s="1"/>
      <c r="E36" s="39" t="s">
        <v>124</v>
      </c>
      <c r="F36" s="40"/>
      <c r="G36" s="40"/>
      <c r="H36" s="40"/>
      <c r="I36" s="40"/>
      <c r="J36" s="40"/>
      <c r="K36" s="41" t="s">
        <v>72</v>
      </c>
      <c r="L36" s="138" t="s">
        <v>125</v>
      </c>
      <c r="M36" s="40" t="s">
        <v>109</v>
      </c>
      <c r="N36" s="40" t="s">
        <v>113</v>
      </c>
      <c r="O36" s="40" t="s">
        <v>126</v>
      </c>
      <c r="P36" s="1">
        <f t="shared" si="3"/>
        <v>1</v>
      </c>
    </row>
    <row r="37" spans="1:20">
      <c r="B37" s="33"/>
      <c r="C37" s="1"/>
      <c r="D37" s="1"/>
      <c r="E37" s="34"/>
      <c r="F37" s="1"/>
      <c r="G37" s="1"/>
      <c r="H37" s="1"/>
      <c r="I37" s="1"/>
      <c r="J37" s="1"/>
      <c r="K37" s="34"/>
      <c r="L37" s="136"/>
      <c r="O37" s="1"/>
    </row>
    <row r="38" spans="1:20" hidden="1">
      <c r="B38" s="137" t="s">
        <v>127</v>
      </c>
      <c r="C38" s="1"/>
      <c r="D38" s="1"/>
      <c r="E38" s="34" t="s">
        <v>112</v>
      </c>
      <c r="F38" s="1" t="s">
        <v>128</v>
      </c>
      <c r="G38" s="1" t="s">
        <v>74</v>
      </c>
      <c r="H38" s="1"/>
      <c r="I38" s="1"/>
      <c r="J38" s="1"/>
      <c r="K38" s="34" t="s">
        <v>72</v>
      </c>
      <c r="L38" s="136" t="s">
        <v>125</v>
      </c>
      <c r="M38" s="1" t="s">
        <v>129</v>
      </c>
      <c r="N38" s="1" t="s">
        <v>74</v>
      </c>
      <c r="O38" s="1" t="s">
        <v>114</v>
      </c>
      <c r="P38" s="1">
        <f t="shared" ref="P38:P43" si="4">COUNTIF($E:$E,E38)</f>
        <v>2</v>
      </c>
    </row>
    <row r="39" spans="1:20">
      <c r="B39" s="137" t="s">
        <v>127</v>
      </c>
      <c r="C39" s="1"/>
      <c r="D39" s="1">
        <v>1</v>
      </c>
      <c r="E39" s="34" t="s">
        <v>130</v>
      </c>
      <c r="F39" s="1"/>
      <c r="G39" s="1" t="s">
        <v>74</v>
      </c>
      <c r="H39" s="1"/>
      <c r="I39" s="1"/>
      <c r="J39" s="1"/>
      <c r="K39" s="34" t="s">
        <v>72</v>
      </c>
      <c r="L39" s="136" t="s">
        <v>125</v>
      </c>
      <c r="M39" s="1" t="s">
        <v>129</v>
      </c>
      <c r="N39" s="1" t="s">
        <v>74</v>
      </c>
      <c r="O39" s="1" t="s">
        <v>114</v>
      </c>
      <c r="P39" s="1">
        <f t="shared" si="4"/>
        <v>1</v>
      </c>
    </row>
    <row r="40" spans="1:20">
      <c r="B40" s="33"/>
      <c r="C40" s="1"/>
      <c r="D40" s="1">
        <v>1</v>
      </c>
      <c r="E40" s="70" t="s">
        <v>200</v>
      </c>
      <c r="F40" s="1" t="s">
        <v>94</v>
      </c>
      <c r="G40" s="1"/>
      <c r="H40" s="1" t="s">
        <v>71</v>
      </c>
      <c r="I40" s="1" t="s">
        <v>71</v>
      </c>
      <c r="J40" s="1"/>
      <c r="K40" s="34" t="s">
        <v>72</v>
      </c>
      <c r="L40" s="136" t="s">
        <v>125</v>
      </c>
      <c r="M40" s="1" t="s">
        <v>129</v>
      </c>
      <c r="N40" s="1" t="s">
        <v>74</v>
      </c>
      <c r="O40" s="1" t="s">
        <v>132</v>
      </c>
      <c r="P40" s="1">
        <f t="shared" si="4"/>
        <v>2</v>
      </c>
    </row>
    <row r="41" spans="1:20">
      <c r="B41" s="33"/>
      <c r="C41" s="1"/>
      <c r="D41" s="1">
        <v>1</v>
      </c>
      <c r="E41" s="70" t="s">
        <v>200</v>
      </c>
      <c r="F41" s="1" t="s">
        <v>94</v>
      </c>
      <c r="G41" s="1"/>
      <c r="H41" s="1" t="s">
        <v>71</v>
      </c>
      <c r="I41" s="1"/>
      <c r="J41" s="1"/>
      <c r="K41" s="34" t="s">
        <v>83</v>
      </c>
      <c r="L41" s="136" t="s">
        <v>125</v>
      </c>
      <c r="M41" s="1" t="s">
        <v>129</v>
      </c>
      <c r="N41" s="1" t="s">
        <v>74</v>
      </c>
      <c r="O41" s="1" t="s">
        <v>132</v>
      </c>
      <c r="P41" s="1">
        <f t="shared" si="4"/>
        <v>2</v>
      </c>
    </row>
    <row r="42" spans="1:20">
      <c r="B42" s="33"/>
      <c r="C42" s="1"/>
      <c r="D42" s="1">
        <v>1</v>
      </c>
      <c r="E42" s="42" t="s">
        <v>133</v>
      </c>
      <c r="F42" s="1"/>
      <c r="G42" s="1"/>
      <c r="H42" s="1" t="s">
        <v>71</v>
      </c>
      <c r="I42" s="1" t="s">
        <v>194</v>
      </c>
      <c r="J42" s="1"/>
      <c r="K42" s="43" t="s">
        <v>72</v>
      </c>
      <c r="L42" s="136" t="s">
        <v>125</v>
      </c>
      <c r="M42" s="1" t="s">
        <v>129</v>
      </c>
      <c r="N42" s="1" t="s">
        <v>74</v>
      </c>
      <c r="O42" s="1" t="s">
        <v>134</v>
      </c>
      <c r="P42" s="1">
        <f t="shared" si="4"/>
        <v>1</v>
      </c>
    </row>
    <row r="43" spans="1:20">
      <c r="B43" s="33"/>
      <c r="C43" s="1"/>
      <c r="D43" s="1"/>
      <c r="E43" s="42" t="s">
        <v>135</v>
      </c>
      <c r="F43" s="1"/>
      <c r="G43" s="1"/>
      <c r="H43" s="1" t="s">
        <v>71</v>
      </c>
      <c r="I43" s="44"/>
      <c r="J43" s="44"/>
      <c r="K43" s="43" t="s">
        <v>83</v>
      </c>
      <c r="L43" s="136" t="s">
        <v>125</v>
      </c>
      <c r="M43" s="1" t="s">
        <v>129</v>
      </c>
      <c r="N43" s="1" t="s">
        <v>74</v>
      </c>
      <c r="O43" s="1" t="s">
        <v>134</v>
      </c>
      <c r="P43" s="1">
        <f t="shared" si="4"/>
        <v>1</v>
      </c>
    </row>
    <row r="44" spans="1:20">
      <c r="B44" s="33"/>
      <c r="C44" s="1"/>
      <c r="D44" s="1"/>
      <c r="E44" s="34"/>
      <c r="F44" s="1"/>
      <c r="G44" s="1"/>
      <c r="H44" s="1"/>
      <c r="I44" s="1"/>
      <c r="J44" s="1"/>
      <c r="K44" s="34"/>
      <c r="L44" s="136"/>
      <c r="O44" s="1"/>
    </row>
    <row r="45" spans="1:20">
      <c r="B45" s="137" t="s">
        <v>136</v>
      </c>
      <c r="C45" s="1" t="s">
        <v>69</v>
      </c>
      <c r="D45" s="1">
        <v>1</v>
      </c>
      <c r="E45" s="34" t="s">
        <v>137</v>
      </c>
      <c r="F45" s="1" t="s">
        <v>71</v>
      </c>
      <c r="G45" s="1" t="s">
        <v>74</v>
      </c>
      <c r="H45" s="1"/>
      <c r="I45" s="1"/>
      <c r="J45" s="1"/>
      <c r="K45" s="34" t="s">
        <v>72</v>
      </c>
      <c r="L45" s="136" t="s">
        <v>139</v>
      </c>
      <c r="M45" s="1" t="s">
        <v>94</v>
      </c>
      <c r="N45" s="1" t="s">
        <v>94</v>
      </c>
      <c r="O45" s="1" t="s">
        <v>114</v>
      </c>
      <c r="P45" s="1">
        <f>COUNTIF($E:$E,E45)</f>
        <v>2</v>
      </c>
      <c r="Q45" s="1" t="s">
        <v>140</v>
      </c>
    </row>
    <row r="46" spans="1:20" hidden="1">
      <c r="B46" s="33"/>
      <c r="C46" s="1" t="s">
        <v>80</v>
      </c>
      <c r="D46" s="1"/>
      <c r="E46" s="34" t="s">
        <v>141</v>
      </c>
      <c r="F46" s="1"/>
      <c r="G46" s="1"/>
      <c r="H46" s="1"/>
      <c r="I46" s="1"/>
      <c r="J46" s="1"/>
      <c r="K46" s="34" t="s">
        <v>72</v>
      </c>
      <c r="L46" s="136" t="s">
        <v>139</v>
      </c>
      <c r="M46" s="1" t="s">
        <v>94</v>
      </c>
      <c r="N46" s="1" t="s">
        <v>94</v>
      </c>
      <c r="O46" s="1"/>
      <c r="Q46" s="1"/>
    </row>
    <row r="47" spans="1:20">
      <c r="B47" s="33"/>
      <c r="D47" s="1">
        <v>1</v>
      </c>
      <c r="E47" s="34" t="s">
        <v>142</v>
      </c>
      <c r="F47" s="1" t="s">
        <v>143</v>
      </c>
      <c r="G47" s="1"/>
      <c r="H47" s="1" t="s">
        <v>71</v>
      </c>
      <c r="I47" s="1" t="s">
        <v>194</v>
      </c>
      <c r="J47" s="1"/>
      <c r="K47" s="34" t="s">
        <v>72</v>
      </c>
      <c r="L47" s="136" t="s">
        <v>139</v>
      </c>
      <c r="M47" s="1" t="s">
        <v>94</v>
      </c>
      <c r="N47" s="1" t="s">
        <v>94</v>
      </c>
      <c r="O47" s="403" t="s">
        <v>145</v>
      </c>
      <c r="P47" s="1">
        <f t="shared" ref="P47:P49" si="5">COUNTIF($E:$E,E47)</f>
        <v>4</v>
      </c>
      <c r="Q47" s="1" t="s">
        <v>146</v>
      </c>
    </row>
    <row r="48" spans="1:20" hidden="1">
      <c r="B48" s="33"/>
      <c r="C48" s="1"/>
      <c r="D48" s="1"/>
      <c r="E48" s="45" t="s">
        <v>147</v>
      </c>
      <c r="F48" s="46"/>
      <c r="G48" s="46"/>
      <c r="H48" s="46" t="s">
        <v>71</v>
      </c>
      <c r="I48" s="46" t="s">
        <v>71</v>
      </c>
      <c r="J48" s="46"/>
      <c r="K48" s="43" t="s">
        <v>72</v>
      </c>
      <c r="L48" s="136" t="s">
        <v>139</v>
      </c>
      <c r="M48" s="1" t="s">
        <v>94</v>
      </c>
      <c r="N48" s="1" t="s">
        <v>94</v>
      </c>
      <c r="O48" s="404"/>
      <c r="P48" s="1">
        <f t="shared" si="5"/>
        <v>3</v>
      </c>
    </row>
    <row r="49" spans="2:16" hidden="1">
      <c r="B49" s="33"/>
      <c r="C49" s="1"/>
      <c r="D49" s="1"/>
      <c r="E49" s="45" t="s">
        <v>148</v>
      </c>
      <c r="F49" s="46"/>
      <c r="G49" s="46"/>
      <c r="H49" s="46" t="s">
        <v>71</v>
      </c>
      <c r="I49" s="46" t="s">
        <v>71</v>
      </c>
      <c r="J49" s="46"/>
      <c r="K49" s="43" t="s">
        <v>72</v>
      </c>
      <c r="L49" s="136" t="s">
        <v>113</v>
      </c>
      <c r="M49" s="1" t="s">
        <v>94</v>
      </c>
      <c r="N49" s="1" t="s">
        <v>94</v>
      </c>
      <c r="O49" s="404"/>
      <c r="P49" s="1">
        <f t="shared" si="5"/>
        <v>4</v>
      </c>
    </row>
    <row r="50" spans="2:16">
      <c r="B50" s="33"/>
      <c r="C50" s="1"/>
      <c r="D50" s="1">
        <v>1</v>
      </c>
      <c r="E50" s="47" t="s">
        <v>149</v>
      </c>
      <c r="F50" s="1" t="s">
        <v>138</v>
      </c>
      <c r="G50" s="1"/>
      <c r="H50" s="1"/>
      <c r="I50" s="1"/>
      <c r="J50" s="1"/>
      <c r="K50" s="34" t="s">
        <v>72</v>
      </c>
      <c r="L50" s="136"/>
      <c r="M50" s="1"/>
      <c r="N50" s="1"/>
      <c r="O50" s="404"/>
    </row>
    <row r="51" spans="2:16">
      <c r="B51" s="33"/>
      <c r="C51" s="1"/>
      <c r="D51" s="1"/>
      <c r="E51" s="53" t="s">
        <v>151</v>
      </c>
      <c r="F51" s="1" t="s">
        <v>201</v>
      </c>
      <c r="G51" s="1"/>
      <c r="H51" s="1"/>
      <c r="I51" s="1"/>
      <c r="J51" s="1"/>
      <c r="K51" s="34" t="s">
        <v>72</v>
      </c>
      <c r="L51" s="136" t="s">
        <v>113</v>
      </c>
      <c r="M51" s="1" t="s">
        <v>113</v>
      </c>
      <c r="N51" s="1" t="s">
        <v>94</v>
      </c>
      <c r="O51" s="404"/>
      <c r="P51" s="1">
        <f t="shared" ref="P51:P55" si="6">COUNTIF($E:$E,E51)</f>
        <v>1</v>
      </c>
    </row>
    <row r="52" spans="2:16" hidden="1">
      <c r="B52" s="33"/>
      <c r="C52" s="1"/>
      <c r="D52" s="1"/>
      <c r="E52" s="49" t="s">
        <v>142</v>
      </c>
      <c r="F52" s="50"/>
      <c r="G52" s="50"/>
      <c r="H52" s="50"/>
      <c r="I52" s="50"/>
      <c r="J52" s="50"/>
      <c r="K52" s="34" t="s">
        <v>83</v>
      </c>
      <c r="L52" s="136" t="s">
        <v>125</v>
      </c>
      <c r="M52" s="1" t="s">
        <v>94</v>
      </c>
      <c r="N52" s="1" t="s">
        <v>94</v>
      </c>
      <c r="O52" s="1" t="s">
        <v>152</v>
      </c>
      <c r="P52" s="1">
        <f t="shared" si="6"/>
        <v>4</v>
      </c>
    </row>
    <row r="53" spans="2:16" hidden="1">
      <c r="B53" s="33"/>
      <c r="C53" s="51"/>
      <c r="D53" s="51"/>
      <c r="E53" s="45" t="s">
        <v>153</v>
      </c>
      <c r="F53" s="46"/>
      <c r="G53" s="46"/>
      <c r="H53" s="46" t="s">
        <v>71</v>
      </c>
      <c r="I53" s="46"/>
      <c r="J53" s="46"/>
      <c r="K53" s="52" t="s">
        <v>83</v>
      </c>
      <c r="L53" s="136" t="s">
        <v>125</v>
      </c>
      <c r="M53" s="1" t="s">
        <v>94</v>
      </c>
      <c r="N53" s="1" t="s">
        <v>94</v>
      </c>
      <c r="O53" s="1" t="s">
        <v>152</v>
      </c>
      <c r="P53" s="1">
        <f t="shared" si="6"/>
        <v>1</v>
      </c>
    </row>
    <row r="54" spans="2:16" hidden="1">
      <c r="B54" s="33"/>
      <c r="C54" s="51"/>
      <c r="D54" s="51"/>
      <c r="E54" s="45" t="s">
        <v>148</v>
      </c>
      <c r="F54" s="46"/>
      <c r="G54" s="46"/>
      <c r="H54" s="46" t="s">
        <v>71</v>
      </c>
      <c r="I54" s="46"/>
      <c r="J54" s="46"/>
      <c r="K54" s="52" t="s">
        <v>83</v>
      </c>
      <c r="L54" s="136" t="s">
        <v>125</v>
      </c>
      <c r="M54" s="1" t="s">
        <v>94</v>
      </c>
      <c r="N54" s="1" t="s">
        <v>94</v>
      </c>
      <c r="O54" s="1" t="s">
        <v>152</v>
      </c>
      <c r="P54" s="1">
        <f t="shared" si="6"/>
        <v>4</v>
      </c>
    </row>
    <row r="55" spans="2:16">
      <c r="B55" s="33"/>
      <c r="C55" s="33"/>
      <c r="D55" s="23">
        <v>1</v>
      </c>
      <c r="E55" s="34" t="s">
        <v>154</v>
      </c>
      <c r="F55" s="1" t="s">
        <v>138</v>
      </c>
      <c r="G55" s="1"/>
      <c r="H55" s="1"/>
      <c r="I55" s="1"/>
      <c r="J55" s="1"/>
      <c r="K55" s="34" t="s">
        <v>83</v>
      </c>
      <c r="L55" s="136" t="s">
        <v>113</v>
      </c>
      <c r="M55" s="1" t="s">
        <v>113</v>
      </c>
      <c r="N55" s="1" t="s">
        <v>94</v>
      </c>
      <c r="O55" s="1" t="s">
        <v>155</v>
      </c>
      <c r="P55" s="1">
        <f t="shared" si="6"/>
        <v>1</v>
      </c>
    </row>
    <row r="56" spans="2:16">
      <c r="B56" s="33"/>
      <c r="C56" s="1"/>
      <c r="D56" s="1"/>
      <c r="E56" s="34"/>
      <c r="F56" s="1"/>
      <c r="G56" s="1"/>
      <c r="H56" s="1"/>
      <c r="I56" s="1"/>
      <c r="J56" s="1"/>
      <c r="K56" s="34"/>
      <c r="L56" s="136"/>
      <c r="M56" s="1"/>
      <c r="O56" s="1"/>
    </row>
    <row r="57" spans="2:16" hidden="1">
      <c r="B57" s="137" t="s">
        <v>156</v>
      </c>
      <c r="C57" s="1" t="s">
        <v>69</v>
      </c>
      <c r="D57" s="1"/>
      <c r="E57" s="34" t="s">
        <v>137</v>
      </c>
      <c r="F57" s="1"/>
      <c r="G57" s="1" t="s">
        <v>74</v>
      </c>
      <c r="H57" s="1"/>
      <c r="I57" s="1"/>
      <c r="J57" s="1"/>
      <c r="K57" s="34" t="s">
        <v>72</v>
      </c>
      <c r="L57" s="136" t="s">
        <v>125</v>
      </c>
      <c r="M57" s="1" t="s">
        <v>94</v>
      </c>
      <c r="N57" s="1" t="s">
        <v>94</v>
      </c>
      <c r="O57" s="1" t="s">
        <v>157</v>
      </c>
      <c r="P57" s="1">
        <f>COUNTIF($E:$E,E57)</f>
        <v>2</v>
      </c>
    </row>
    <row r="58" spans="2:16" hidden="1">
      <c r="B58" s="33"/>
      <c r="C58" s="1" t="s">
        <v>80</v>
      </c>
      <c r="D58" s="1"/>
      <c r="E58" s="34" t="s">
        <v>141</v>
      </c>
      <c r="F58" s="1"/>
      <c r="G58" s="1"/>
      <c r="H58" s="1"/>
      <c r="I58" s="1"/>
      <c r="J58" s="1"/>
      <c r="K58" s="34" t="s">
        <v>72</v>
      </c>
      <c r="L58" s="136" t="s">
        <v>125</v>
      </c>
      <c r="M58" s="1" t="s">
        <v>94</v>
      </c>
      <c r="N58" s="1" t="s">
        <v>94</v>
      </c>
      <c r="O58" s="1" t="s">
        <v>157</v>
      </c>
    </row>
    <row r="59" spans="2:16" hidden="1">
      <c r="B59" s="33"/>
      <c r="E59" s="43" t="s">
        <v>142</v>
      </c>
      <c r="F59" s="46"/>
      <c r="G59" s="46"/>
      <c r="H59" s="46"/>
      <c r="I59" s="46"/>
      <c r="J59" s="46"/>
      <c r="K59" s="43" t="s">
        <v>72</v>
      </c>
      <c r="L59" s="136" t="s">
        <v>125</v>
      </c>
      <c r="M59" s="1" t="s">
        <v>94</v>
      </c>
      <c r="N59" s="1" t="s">
        <v>94</v>
      </c>
      <c r="O59" s="1" t="s">
        <v>157</v>
      </c>
      <c r="P59" s="1">
        <f t="shared" ref="P59:P61" si="7">COUNTIF($E:$E,E59)</f>
        <v>4</v>
      </c>
    </row>
    <row r="60" spans="2:16" hidden="1">
      <c r="B60" s="33"/>
      <c r="C60" s="1"/>
      <c r="D60" s="1"/>
      <c r="E60" s="45" t="s">
        <v>147</v>
      </c>
      <c r="F60" s="46"/>
      <c r="G60" s="46"/>
      <c r="H60" s="46"/>
      <c r="I60" s="46"/>
      <c r="J60" s="46"/>
      <c r="K60" s="43" t="s">
        <v>72</v>
      </c>
      <c r="L60" s="136" t="s">
        <v>125</v>
      </c>
      <c r="M60" s="1" t="s">
        <v>94</v>
      </c>
      <c r="N60" s="1" t="s">
        <v>94</v>
      </c>
      <c r="O60" s="1" t="s">
        <v>157</v>
      </c>
      <c r="P60" s="1">
        <f t="shared" si="7"/>
        <v>3</v>
      </c>
    </row>
    <row r="61" spans="2:16" hidden="1">
      <c r="B61" s="33"/>
      <c r="C61" s="1"/>
      <c r="D61" s="1"/>
      <c r="E61" s="45" t="s">
        <v>148</v>
      </c>
      <c r="F61" s="46"/>
      <c r="G61" s="46"/>
      <c r="H61" s="46"/>
      <c r="I61" s="46"/>
      <c r="J61" s="46"/>
      <c r="K61" s="43" t="s">
        <v>72</v>
      </c>
      <c r="L61" s="136" t="s">
        <v>125</v>
      </c>
      <c r="M61" s="1" t="s">
        <v>94</v>
      </c>
      <c r="N61" s="1" t="s">
        <v>94</v>
      </c>
      <c r="O61" s="1" t="s">
        <v>157</v>
      </c>
      <c r="P61" s="1">
        <f t="shared" si="7"/>
        <v>4</v>
      </c>
    </row>
    <row r="62" spans="2:16" hidden="1">
      <c r="B62" s="33"/>
      <c r="C62" s="1"/>
      <c r="D62" s="1"/>
      <c r="E62" s="47" t="s">
        <v>149</v>
      </c>
      <c r="F62" s="46"/>
      <c r="G62" s="46"/>
      <c r="H62" s="46"/>
      <c r="I62" s="46"/>
      <c r="J62" s="46"/>
      <c r="K62" s="43"/>
      <c r="L62" s="136"/>
      <c r="M62" s="1"/>
      <c r="N62" s="1"/>
      <c r="O62" s="1"/>
    </row>
    <row r="63" spans="2:16" hidden="1">
      <c r="B63" s="33"/>
      <c r="C63" s="1"/>
      <c r="D63" s="1"/>
      <c r="E63" s="53" t="s">
        <v>202</v>
      </c>
      <c r="F63" s="1"/>
      <c r="G63" s="1"/>
      <c r="H63" s="1"/>
      <c r="I63" s="1"/>
      <c r="J63" s="1"/>
      <c r="K63" s="34" t="s">
        <v>72</v>
      </c>
      <c r="L63" s="136" t="s">
        <v>113</v>
      </c>
      <c r="M63" s="1" t="s">
        <v>113</v>
      </c>
      <c r="N63" s="1" t="s">
        <v>94</v>
      </c>
      <c r="O63" s="1" t="s">
        <v>157</v>
      </c>
      <c r="P63" s="1">
        <f t="shared" ref="P63:P67" si="8">COUNTIF($E:$E,E63)</f>
        <v>1</v>
      </c>
    </row>
    <row r="64" spans="2:16">
      <c r="B64" s="137" t="s">
        <v>156</v>
      </c>
      <c r="C64" s="1"/>
      <c r="D64" s="1"/>
      <c r="E64" s="34" t="s">
        <v>159</v>
      </c>
      <c r="F64" s="1"/>
      <c r="G64" s="1"/>
      <c r="H64" s="1" t="s">
        <v>71</v>
      </c>
      <c r="I64" s="1" t="s">
        <v>71</v>
      </c>
      <c r="J64" s="1"/>
      <c r="K64" s="34" t="s">
        <v>72</v>
      </c>
      <c r="L64" s="136" t="s">
        <v>113</v>
      </c>
      <c r="M64" s="1" t="s">
        <v>113</v>
      </c>
      <c r="N64" s="1" t="s">
        <v>94</v>
      </c>
      <c r="O64" s="1"/>
      <c r="P64" s="1">
        <f t="shared" si="8"/>
        <v>1</v>
      </c>
    </row>
    <row r="65" spans="1:20" hidden="1">
      <c r="B65" s="33"/>
      <c r="C65" s="1"/>
      <c r="D65" s="1"/>
      <c r="E65" s="43" t="s">
        <v>142</v>
      </c>
      <c r="F65" s="46"/>
      <c r="G65" s="46"/>
      <c r="H65" s="46"/>
      <c r="I65" s="46"/>
      <c r="J65" s="46"/>
      <c r="K65" s="43" t="s">
        <v>83</v>
      </c>
      <c r="L65" s="136" t="s">
        <v>125</v>
      </c>
      <c r="M65" s="1" t="s">
        <v>94</v>
      </c>
      <c r="N65" s="1" t="s">
        <v>94</v>
      </c>
      <c r="O65" s="1" t="s">
        <v>157</v>
      </c>
      <c r="P65" s="1">
        <f t="shared" si="8"/>
        <v>4</v>
      </c>
    </row>
    <row r="66" spans="1:20" hidden="1">
      <c r="B66" s="33"/>
      <c r="C66" s="1"/>
      <c r="D66" s="1"/>
      <c r="E66" s="45" t="s">
        <v>147</v>
      </c>
      <c r="F66" s="54"/>
      <c r="G66" s="54"/>
      <c r="H66" s="54"/>
      <c r="I66" s="54"/>
      <c r="J66" s="54"/>
      <c r="K66" s="43" t="s">
        <v>83</v>
      </c>
      <c r="L66" s="136" t="s">
        <v>125</v>
      </c>
      <c r="M66" s="1" t="s">
        <v>94</v>
      </c>
      <c r="N66" s="1" t="s">
        <v>94</v>
      </c>
      <c r="O66" s="1" t="s">
        <v>157</v>
      </c>
      <c r="P66" s="1">
        <f t="shared" si="8"/>
        <v>3</v>
      </c>
    </row>
    <row r="67" spans="1:20" hidden="1">
      <c r="B67" s="33"/>
      <c r="C67" s="1"/>
      <c r="D67" s="1"/>
      <c r="E67" s="45" t="s">
        <v>148</v>
      </c>
      <c r="F67" s="54"/>
      <c r="G67" s="54"/>
      <c r="H67" s="54"/>
      <c r="I67" s="54"/>
      <c r="J67" s="54"/>
      <c r="K67" s="43" t="s">
        <v>83</v>
      </c>
      <c r="L67" s="136" t="s">
        <v>125</v>
      </c>
      <c r="M67" s="1" t="s">
        <v>94</v>
      </c>
      <c r="N67" s="1" t="s">
        <v>94</v>
      </c>
      <c r="O67" s="1" t="s">
        <v>157</v>
      </c>
      <c r="P67" s="1">
        <f t="shared" si="8"/>
        <v>4</v>
      </c>
    </row>
    <row r="68" spans="1:20">
      <c r="B68" s="33"/>
      <c r="C68" s="1"/>
      <c r="D68" s="1"/>
      <c r="E68" s="34"/>
      <c r="F68" s="1"/>
      <c r="G68" s="1"/>
      <c r="H68" s="1"/>
      <c r="I68" s="1"/>
      <c r="J68" s="1"/>
      <c r="K68" s="34"/>
      <c r="L68" s="136"/>
      <c r="M68" s="1"/>
      <c r="O68" s="1"/>
    </row>
    <row r="69" spans="1:20">
      <c r="B69" s="137" t="s">
        <v>160</v>
      </c>
      <c r="C69" s="1" t="s">
        <v>80</v>
      </c>
      <c r="D69" s="1"/>
      <c r="E69" s="34" t="s">
        <v>161</v>
      </c>
      <c r="F69" s="1" t="s">
        <v>129</v>
      </c>
      <c r="G69" s="1"/>
      <c r="H69" s="1" t="s">
        <v>71</v>
      </c>
      <c r="I69" s="1"/>
      <c r="J69" s="1"/>
      <c r="K69" s="34" t="s">
        <v>72</v>
      </c>
      <c r="L69" s="136" t="s">
        <v>162</v>
      </c>
      <c r="M69" s="1" t="s">
        <v>101</v>
      </c>
      <c r="N69" s="1" t="s">
        <v>94</v>
      </c>
      <c r="O69" s="1"/>
      <c r="P69" s="1">
        <f t="shared" ref="P69:P70" si="9">COUNTIF($E:$E,E69)</f>
        <v>2</v>
      </c>
    </row>
    <row r="70" spans="1:20">
      <c r="B70" s="33"/>
      <c r="C70" s="1" t="s">
        <v>80</v>
      </c>
      <c r="D70" s="1"/>
      <c r="E70" s="34" t="s">
        <v>161</v>
      </c>
      <c r="F70" s="1" t="s">
        <v>129</v>
      </c>
      <c r="G70" s="1"/>
      <c r="H70" s="1" t="s">
        <v>71</v>
      </c>
      <c r="I70" s="1"/>
      <c r="J70" s="1"/>
      <c r="K70" s="34" t="s">
        <v>83</v>
      </c>
      <c r="L70" s="136" t="s">
        <v>162</v>
      </c>
      <c r="M70" s="1" t="s">
        <v>101</v>
      </c>
      <c r="N70" s="1" t="s">
        <v>94</v>
      </c>
      <c r="O70" s="1"/>
      <c r="P70" s="1">
        <f t="shared" si="9"/>
        <v>2</v>
      </c>
    </row>
    <row r="71" spans="1:20">
      <c r="B71" s="33"/>
      <c r="C71" s="1" t="s">
        <v>69</v>
      </c>
      <c r="D71" s="1"/>
      <c r="E71" s="36" t="s">
        <v>163</v>
      </c>
      <c r="F71" s="1" t="s">
        <v>129</v>
      </c>
      <c r="G71" s="1"/>
      <c r="H71" s="1" t="s">
        <v>71</v>
      </c>
      <c r="I71" s="1" t="s">
        <v>71</v>
      </c>
      <c r="J71" s="1"/>
      <c r="K71" s="34" t="s">
        <v>72</v>
      </c>
      <c r="L71" s="136" t="s">
        <v>162</v>
      </c>
      <c r="M71" s="1" t="s">
        <v>101</v>
      </c>
      <c r="N71" s="1" t="s">
        <v>101</v>
      </c>
      <c r="O71" s="1"/>
    </row>
    <row r="72" spans="1:20">
      <c r="B72" s="33"/>
      <c r="C72" s="1" t="s">
        <v>69</v>
      </c>
      <c r="D72" s="1"/>
      <c r="E72" s="139" t="s">
        <v>164</v>
      </c>
      <c r="F72" s="1" t="s">
        <v>129</v>
      </c>
      <c r="G72" s="1"/>
      <c r="H72" s="1" t="s">
        <v>71</v>
      </c>
      <c r="I72" s="1" t="s">
        <v>71</v>
      </c>
      <c r="J72" s="1"/>
      <c r="K72" s="34" t="s">
        <v>72</v>
      </c>
      <c r="L72" s="136" t="s">
        <v>162</v>
      </c>
      <c r="M72" s="1" t="s">
        <v>101</v>
      </c>
      <c r="N72" s="1" t="s">
        <v>101</v>
      </c>
      <c r="O72" s="1"/>
    </row>
    <row r="73" spans="1:20">
      <c r="B73" s="33"/>
      <c r="C73" s="1" t="s">
        <v>69</v>
      </c>
      <c r="D73" s="1"/>
      <c r="E73" s="140" t="s">
        <v>165</v>
      </c>
      <c r="F73" s="1" t="s">
        <v>129</v>
      </c>
      <c r="G73" s="1"/>
      <c r="H73" s="1" t="s">
        <v>71</v>
      </c>
      <c r="I73" s="1" t="s">
        <v>71</v>
      </c>
      <c r="J73" s="1"/>
      <c r="K73" s="34" t="s">
        <v>72</v>
      </c>
      <c r="L73" s="136" t="s">
        <v>162</v>
      </c>
      <c r="M73" s="1" t="s">
        <v>101</v>
      </c>
      <c r="N73" s="1" t="s">
        <v>101</v>
      </c>
      <c r="O73" s="1"/>
    </row>
    <row r="74" spans="1:20">
      <c r="B74" s="33"/>
      <c r="C74" s="1"/>
      <c r="D74" s="1"/>
      <c r="E74" s="34"/>
      <c r="F74" s="1"/>
      <c r="G74" s="1"/>
      <c r="H74" s="1"/>
      <c r="I74" s="1"/>
      <c r="J74" s="1"/>
      <c r="K74" s="34"/>
      <c r="L74" s="136"/>
      <c r="M74" s="1"/>
      <c r="O74" s="1"/>
    </row>
    <row r="75" spans="1:20">
      <c r="B75" s="137" t="s">
        <v>166</v>
      </c>
      <c r="C75" s="1" t="s">
        <v>69</v>
      </c>
      <c r="D75" s="1"/>
      <c r="E75" s="55" t="s">
        <v>167</v>
      </c>
      <c r="F75" s="1" t="s">
        <v>203</v>
      </c>
      <c r="G75" s="1"/>
      <c r="H75" s="1" t="s">
        <v>71</v>
      </c>
      <c r="I75" s="1" t="s">
        <v>71</v>
      </c>
      <c r="J75" s="1" t="s">
        <v>71</v>
      </c>
      <c r="K75" s="34" t="s">
        <v>72</v>
      </c>
      <c r="L75" s="136" t="s">
        <v>139</v>
      </c>
      <c r="M75" s="1" t="s">
        <v>101</v>
      </c>
      <c r="N75" s="1" t="s">
        <v>94</v>
      </c>
      <c r="O75" s="1" t="s">
        <v>168</v>
      </c>
      <c r="P75" s="1">
        <f t="shared" ref="P75:P79" si="10">COUNTIF($E:$E,E75)</f>
        <v>1</v>
      </c>
    </row>
    <row r="76" spans="1:20">
      <c r="A76" s="20"/>
      <c r="B76" s="33"/>
      <c r="C76" s="20" t="s">
        <v>80</v>
      </c>
      <c r="D76" s="20"/>
      <c r="E76" s="55" t="s">
        <v>169</v>
      </c>
      <c r="F76" s="1" t="s">
        <v>100</v>
      </c>
      <c r="G76" s="1"/>
      <c r="H76" s="1" t="s">
        <v>71</v>
      </c>
      <c r="I76" s="1" t="s">
        <v>71</v>
      </c>
      <c r="J76" s="1"/>
      <c r="K76" s="38" t="s">
        <v>72</v>
      </c>
      <c r="L76" s="135" t="s">
        <v>139</v>
      </c>
      <c r="M76" s="20" t="s">
        <v>101</v>
      </c>
      <c r="N76" s="20" t="s">
        <v>94</v>
      </c>
      <c r="O76" s="20" t="s">
        <v>170</v>
      </c>
      <c r="P76" s="20">
        <f t="shared" si="10"/>
        <v>4</v>
      </c>
      <c r="Q76" s="20"/>
      <c r="R76" s="20"/>
      <c r="S76" s="20"/>
      <c r="T76" s="20"/>
    </row>
    <row r="77" spans="1:20">
      <c r="A77" s="20"/>
      <c r="B77" s="33"/>
      <c r="C77" s="20" t="s">
        <v>80</v>
      </c>
      <c r="D77" s="20"/>
      <c r="E77" s="55" t="s">
        <v>169</v>
      </c>
      <c r="F77" s="1" t="s">
        <v>100</v>
      </c>
      <c r="G77" s="1"/>
      <c r="H77" s="1" t="s">
        <v>71</v>
      </c>
      <c r="I77" s="20"/>
      <c r="J77" s="20"/>
      <c r="K77" s="38" t="s">
        <v>83</v>
      </c>
      <c r="L77" s="135" t="s">
        <v>139</v>
      </c>
      <c r="M77" s="20" t="s">
        <v>101</v>
      </c>
      <c r="N77" s="20" t="s">
        <v>94</v>
      </c>
      <c r="O77" s="20" t="s">
        <v>170</v>
      </c>
      <c r="P77" s="20">
        <f t="shared" si="10"/>
        <v>4</v>
      </c>
      <c r="Q77" s="20"/>
      <c r="R77" s="20"/>
      <c r="S77" s="20"/>
      <c r="T77" s="20"/>
    </row>
    <row r="78" spans="1:20">
      <c r="B78" s="33"/>
      <c r="C78" s="56" t="s">
        <v>80</v>
      </c>
      <c r="D78" s="56"/>
      <c r="E78" s="57" t="s">
        <v>171</v>
      </c>
      <c r="F78" s="1" t="s">
        <v>100</v>
      </c>
      <c r="G78" s="1"/>
      <c r="H78" s="1" t="s">
        <v>71</v>
      </c>
      <c r="I78" s="1" t="s">
        <v>71</v>
      </c>
      <c r="J78" s="1"/>
      <c r="K78" s="34" t="s">
        <v>72</v>
      </c>
      <c r="L78" s="136" t="s">
        <v>125</v>
      </c>
      <c r="M78" s="1" t="s">
        <v>101</v>
      </c>
      <c r="N78" s="1" t="s">
        <v>94</v>
      </c>
      <c r="O78" s="1" t="s">
        <v>168</v>
      </c>
      <c r="P78" s="1">
        <f t="shared" si="10"/>
        <v>1</v>
      </c>
    </row>
    <row r="79" spans="1:20">
      <c r="B79" s="33"/>
      <c r="C79" s="1" t="s">
        <v>80</v>
      </c>
      <c r="D79" s="1"/>
      <c r="E79" s="59" t="s">
        <v>172</v>
      </c>
      <c r="F79" s="1" t="s">
        <v>100</v>
      </c>
      <c r="G79" s="1"/>
      <c r="H79" s="1" t="s">
        <v>71</v>
      </c>
      <c r="I79" s="1"/>
      <c r="J79" s="1"/>
      <c r="K79" s="34" t="s">
        <v>83</v>
      </c>
      <c r="L79" s="136" t="s">
        <v>125</v>
      </c>
      <c r="M79" s="1" t="s">
        <v>101</v>
      </c>
      <c r="N79" s="1" t="s">
        <v>94</v>
      </c>
      <c r="O79" s="1" t="s">
        <v>168</v>
      </c>
      <c r="P79" s="1">
        <f t="shared" si="10"/>
        <v>4</v>
      </c>
    </row>
    <row r="80" spans="1:20">
      <c r="B80" s="33"/>
      <c r="C80" s="1" t="s">
        <v>80</v>
      </c>
      <c r="D80" s="1"/>
      <c r="E80" s="59" t="s">
        <v>172</v>
      </c>
      <c r="F80" s="1" t="s">
        <v>100</v>
      </c>
      <c r="G80" s="1"/>
      <c r="H80" s="1" t="s">
        <v>71</v>
      </c>
      <c r="I80" s="1" t="s">
        <v>71</v>
      </c>
      <c r="J80" s="1"/>
      <c r="K80" s="58" t="s">
        <v>72</v>
      </c>
      <c r="L80" s="136" t="s">
        <v>125</v>
      </c>
      <c r="M80" s="1" t="s">
        <v>101</v>
      </c>
      <c r="N80" s="1" t="s">
        <v>101</v>
      </c>
      <c r="O80" s="1" t="s">
        <v>168</v>
      </c>
    </row>
    <row r="81" spans="1:20">
      <c r="B81" s="33"/>
      <c r="C81" s="1"/>
      <c r="D81" s="1"/>
      <c r="E81" s="34"/>
      <c r="F81" s="1"/>
      <c r="G81" s="1"/>
      <c r="H81" s="1"/>
      <c r="I81" s="1"/>
      <c r="J81" s="1"/>
      <c r="K81" s="34"/>
      <c r="L81" s="136"/>
      <c r="M81" s="1"/>
      <c r="O81" s="1"/>
    </row>
    <row r="82" spans="1:20" hidden="1">
      <c r="B82" s="137" t="s">
        <v>173</v>
      </c>
      <c r="C82" s="1" t="s">
        <v>69</v>
      </c>
      <c r="D82" s="1"/>
      <c r="E82" s="34" t="s">
        <v>141</v>
      </c>
      <c r="F82" s="1"/>
      <c r="G82" s="1"/>
      <c r="H82" s="1" t="s">
        <v>71</v>
      </c>
      <c r="I82" s="1" t="s">
        <v>71</v>
      </c>
      <c r="J82" s="1" t="s">
        <v>71</v>
      </c>
      <c r="K82" s="34" t="s">
        <v>72</v>
      </c>
      <c r="L82" s="136" t="s">
        <v>125</v>
      </c>
      <c r="M82" s="1" t="s">
        <v>109</v>
      </c>
      <c r="N82" s="1" t="s">
        <v>94</v>
      </c>
      <c r="O82" s="1"/>
      <c r="P82" s="1">
        <f t="shared" ref="P82:P83" si="11">COUNTIF($E:$E,E82)</f>
        <v>3</v>
      </c>
    </row>
    <row r="83" spans="1:20">
      <c r="B83" s="137" t="s">
        <v>173</v>
      </c>
      <c r="C83" s="1" t="s">
        <v>69</v>
      </c>
      <c r="D83" s="1">
        <v>1</v>
      </c>
      <c r="E83" s="34" t="s">
        <v>174</v>
      </c>
      <c r="F83" s="1" t="s">
        <v>94</v>
      </c>
      <c r="G83" s="1"/>
      <c r="H83" s="1" t="s">
        <v>71</v>
      </c>
      <c r="I83" s="1" t="s">
        <v>71</v>
      </c>
      <c r="J83" s="1"/>
      <c r="K83" s="34" t="s">
        <v>72</v>
      </c>
      <c r="L83" s="136" t="s">
        <v>125</v>
      </c>
      <c r="M83" s="1" t="s">
        <v>109</v>
      </c>
      <c r="N83" s="1" t="s">
        <v>94</v>
      </c>
      <c r="O83" s="1"/>
      <c r="P83" s="1">
        <f t="shared" si="11"/>
        <v>1</v>
      </c>
    </row>
    <row r="84" spans="1:20">
      <c r="B84" s="137" t="s">
        <v>175</v>
      </c>
      <c r="C84" s="1"/>
      <c r="D84" s="1"/>
      <c r="E84" s="34"/>
      <c r="F84" s="1" t="s">
        <v>138</v>
      </c>
      <c r="G84" s="1"/>
      <c r="H84" s="1"/>
      <c r="I84" s="1"/>
      <c r="J84" s="1"/>
      <c r="K84" s="34"/>
      <c r="L84" s="136"/>
      <c r="M84" s="1"/>
      <c r="O84" s="1"/>
    </row>
    <row r="85" spans="1:20" hidden="1">
      <c r="B85" s="137" t="s">
        <v>175</v>
      </c>
      <c r="C85" s="1" t="s">
        <v>80</v>
      </c>
      <c r="D85" s="1"/>
      <c r="E85" s="34" t="s">
        <v>176</v>
      </c>
      <c r="F85" s="1"/>
      <c r="G85" s="1"/>
      <c r="H85" s="1" t="s">
        <v>71</v>
      </c>
      <c r="I85" s="1" t="s">
        <v>71</v>
      </c>
      <c r="J85" s="1"/>
      <c r="K85" s="34" t="s">
        <v>72</v>
      </c>
      <c r="L85" s="136" t="s">
        <v>125</v>
      </c>
      <c r="M85" s="1" t="s">
        <v>109</v>
      </c>
      <c r="N85" s="1" t="s">
        <v>101</v>
      </c>
      <c r="O85" s="1"/>
      <c r="P85" s="1">
        <f t="shared" ref="P85:P86" si="12">COUNTIF($E:$E,E85)</f>
        <v>1</v>
      </c>
    </row>
    <row r="86" spans="1:20" hidden="1">
      <c r="B86" s="33"/>
      <c r="C86" s="1"/>
      <c r="D86" s="1"/>
      <c r="E86" s="34" t="s">
        <v>204</v>
      </c>
      <c r="F86" s="44"/>
      <c r="G86" s="44"/>
      <c r="H86" s="44"/>
      <c r="I86" s="44"/>
      <c r="J86" s="44"/>
      <c r="K86" s="34" t="s">
        <v>83</v>
      </c>
      <c r="L86" s="136" t="s">
        <v>125</v>
      </c>
      <c r="M86" s="1" t="s">
        <v>109</v>
      </c>
      <c r="N86" s="1" t="s">
        <v>101</v>
      </c>
      <c r="O86" s="1"/>
      <c r="P86" s="1">
        <f t="shared" si="12"/>
        <v>1</v>
      </c>
    </row>
    <row r="87" spans="1:20">
      <c r="B87" s="137" t="s">
        <v>179</v>
      </c>
      <c r="C87" s="1"/>
      <c r="D87" s="1"/>
      <c r="E87" s="34"/>
      <c r="F87" s="1" t="s">
        <v>138</v>
      </c>
      <c r="G87" s="1"/>
      <c r="H87" s="1"/>
      <c r="I87" s="1"/>
      <c r="J87" s="1"/>
      <c r="K87" s="34"/>
      <c r="L87" s="1"/>
      <c r="N87" s="1"/>
    </row>
    <row r="88" spans="1:20" hidden="1">
      <c r="B88" s="137" t="s">
        <v>179</v>
      </c>
      <c r="C88" s="1" t="s">
        <v>80</v>
      </c>
      <c r="D88" s="1"/>
      <c r="E88" s="53" t="s">
        <v>180</v>
      </c>
      <c r="J88" s="1"/>
      <c r="K88" s="34" t="s">
        <v>72</v>
      </c>
      <c r="L88" s="136" t="s">
        <v>125</v>
      </c>
      <c r="M88" s="1" t="s">
        <v>109</v>
      </c>
      <c r="N88" s="1" t="s">
        <v>101</v>
      </c>
      <c r="O88" s="1"/>
      <c r="P88" s="1">
        <f t="shared" ref="P88:P89" si="13">COUNTIF($E:$E,E88)</f>
        <v>2</v>
      </c>
    </row>
    <row r="89" spans="1:20" hidden="1">
      <c r="B89" s="33"/>
      <c r="C89" s="1"/>
      <c r="D89" s="1"/>
      <c r="E89" s="53" t="s">
        <v>180</v>
      </c>
      <c r="F89" s="1"/>
      <c r="G89" s="1"/>
      <c r="H89" s="1"/>
      <c r="I89" s="1"/>
      <c r="J89" s="1"/>
      <c r="K89" s="34" t="s">
        <v>83</v>
      </c>
      <c r="L89" s="136" t="s">
        <v>125</v>
      </c>
      <c r="M89" s="1" t="s">
        <v>109</v>
      </c>
      <c r="N89" s="1" t="s">
        <v>101</v>
      </c>
      <c r="O89" s="1"/>
      <c r="P89" s="1">
        <f t="shared" si="13"/>
        <v>2</v>
      </c>
    </row>
    <row r="90" spans="1:20">
      <c r="A90" s="33"/>
      <c r="C90" s="1"/>
      <c r="D90" s="1"/>
      <c r="E90" s="34"/>
      <c r="F90" s="1"/>
      <c r="G90" s="1"/>
      <c r="H90" s="1"/>
      <c r="I90" s="1"/>
      <c r="J90" s="1"/>
      <c r="K90" s="34"/>
      <c r="L90" s="136"/>
      <c r="M90" s="1"/>
      <c r="O90" s="1"/>
    </row>
    <row r="91" spans="1:20">
      <c r="A91" s="60"/>
      <c r="B91" s="61"/>
      <c r="C91" s="60"/>
      <c r="D91" s="60"/>
      <c r="E91" s="62"/>
      <c r="F91" s="60"/>
      <c r="G91" s="60"/>
      <c r="H91" s="60"/>
      <c r="I91" s="60"/>
      <c r="J91" s="60"/>
      <c r="K91" s="62"/>
      <c r="L91" s="60" t="s">
        <v>181</v>
      </c>
      <c r="M91" s="60"/>
      <c r="N91" s="60"/>
      <c r="O91" s="60"/>
      <c r="P91" s="60"/>
      <c r="Q91" s="60"/>
      <c r="R91" s="60"/>
      <c r="S91" s="60"/>
      <c r="T91" s="60"/>
    </row>
    <row r="92" spans="1:20">
      <c r="B92" s="63"/>
    </row>
    <row r="93" spans="1:20">
      <c r="B93" s="141" t="s">
        <v>182</v>
      </c>
      <c r="C93" s="1" t="s">
        <v>80</v>
      </c>
      <c r="D93" s="1">
        <v>1</v>
      </c>
      <c r="E93" s="59" t="s">
        <v>183</v>
      </c>
      <c r="F93" s="1" t="s">
        <v>71</v>
      </c>
      <c r="G93" s="1"/>
      <c r="H93" s="1" t="s">
        <v>71</v>
      </c>
      <c r="I93" s="1" t="s">
        <v>194</v>
      </c>
      <c r="J93" s="1"/>
      <c r="K93" s="35" t="s">
        <v>72</v>
      </c>
      <c r="L93" s="136" t="s">
        <v>113</v>
      </c>
      <c r="M93" s="1" t="s">
        <v>109</v>
      </c>
      <c r="N93" s="1" t="s">
        <v>101</v>
      </c>
    </row>
    <row r="94" spans="1:20">
      <c r="B94" s="63"/>
      <c r="C94" s="1" t="s">
        <v>80</v>
      </c>
      <c r="D94" s="1">
        <v>1</v>
      </c>
      <c r="E94" s="64" t="s">
        <v>184</v>
      </c>
      <c r="F94" s="1" t="s">
        <v>71</v>
      </c>
      <c r="G94" s="1"/>
      <c r="H94" s="1" t="s">
        <v>71</v>
      </c>
      <c r="I94" s="1"/>
      <c r="J94" s="1"/>
      <c r="K94" s="37" t="s">
        <v>83</v>
      </c>
      <c r="L94" s="136" t="s">
        <v>113</v>
      </c>
      <c r="M94" s="1" t="s">
        <v>109</v>
      </c>
      <c r="N94" s="1" t="s">
        <v>101</v>
      </c>
    </row>
    <row r="95" spans="1:20">
      <c r="B95" s="65"/>
      <c r="C95" s="1"/>
      <c r="D95" s="1"/>
      <c r="E95" s="66"/>
      <c r="F95" s="1"/>
      <c r="G95" s="1"/>
      <c r="H95" s="1"/>
      <c r="I95" s="1"/>
      <c r="J95" s="1"/>
      <c r="K95" s="68"/>
      <c r="L95" s="136"/>
    </row>
    <row r="96" spans="1:20">
      <c r="B96" s="141" t="s">
        <v>186</v>
      </c>
      <c r="C96" s="1" t="s">
        <v>80</v>
      </c>
      <c r="D96" s="1">
        <v>1</v>
      </c>
      <c r="E96" s="34" t="s">
        <v>187</v>
      </c>
      <c r="F96" s="1" t="s">
        <v>71</v>
      </c>
      <c r="G96" s="1"/>
      <c r="H96" s="1" t="s">
        <v>71</v>
      </c>
      <c r="I96" s="1" t="s">
        <v>194</v>
      </c>
      <c r="J96" s="1"/>
      <c r="K96" s="31" t="s">
        <v>72</v>
      </c>
      <c r="L96" s="136" t="s">
        <v>113</v>
      </c>
      <c r="M96" s="1" t="s">
        <v>109</v>
      </c>
      <c r="N96" s="1" t="s">
        <v>101</v>
      </c>
    </row>
    <row r="97" spans="2:16">
      <c r="B97" s="63"/>
      <c r="C97" s="1" t="s">
        <v>80</v>
      </c>
      <c r="D97" s="1">
        <v>1</v>
      </c>
      <c r="E97" s="34" t="s">
        <v>187</v>
      </c>
      <c r="F97" s="1" t="s">
        <v>71</v>
      </c>
      <c r="G97" s="1"/>
      <c r="H97" s="1" t="s">
        <v>71</v>
      </c>
      <c r="I97" s="1"/>
      <c r="J97" s="1"/>
      <c r="K97" s="35" t="s">
        <v>83</v>
      </c>
      <c r="L97" s="136" t="s">
        <v>113</v>
      </c>
      <c r="M97" s="1" t="s">
        <v>109</v>
      </c>
      <c r="N97" s="1" t="s">
        <v>101</v>
      </c>
    </row>
    <row r="98" spans="2:16">
      <c r="B98" s="63"/>
      <c r="C98" s="1" t="s">
        <v>80</v>
      </c>
      <c r="D98" s="1">
        <v>1</v>
      </c>
      <c r="E98" s="1" t="s">
        <v>188</v>
      </c>
      <c r="F98" s="134" t="s">
        <v>177</v>
      </c>
      <c r="K98" s="1" t="s">
        <v>83</v>
      </c>
      <c r="L98" s="136" t="s">
        <v>125</v>
      </c>
      <c r="M98" s="1" t="s">
        <v>109</v>
      </c>
      <c r="N98" s="1" t="s">
        <v>101</v>
      </c>
      <c r="P98" s="1">
        <f>COUNTIF($E:$E,E98)</f>
        <v>1</v>
      </c>
    </row>
    <row r="99" spans="2:16">
      <c r="B99" s="63"/>
    </row>
    <row r="100" spans="2:16">
      <c r="B100" s="142" t="s">
        <v>189</v>
      </c>
      <c r="C100" s="1" t="s">
        <v>80</v>
      </c>
      <c r="D100" s="1"/>
      <c r="E100" s="59" t="s">
        <v>172</v>
      </c>
      <c r="F100" s="1"/>
      <c r="G100" s="1"/>
      <c r="H100" s="1" t="s">
        <v>71</v>
      </c>
      <c r="K100" s="1" t="s">
        <v>72</v>
      </c>
    </row>
    <row r="101" spans="2:16">
      <c r="B101" s="63"/>
      <c r="C101" s="1" t="s">
        <v>80</v>
      </c>
      <c r="D101" s="1"/>
      <c r="E101" s="59" t="s">
        <v>172</v>
      </c>
      <c r="K101" s="1" t="s">
        <v>83</v>
      </c>
    </row>
    <row r="102" spans="2:16">
      <c r="B102" s="63"/>
    </row>
    <row r="103" spans="2:16">
      <c r="B103" s="142" t="s">
        <v>190</v>
      </c>
      <c r="C103" s="1" t="s">
        <v>80</v>
      </c>
      <c r="D103" s="1"/>
      <c r="E103" s="55" t="s">
        <v>169</v>
      </c>
      <c r="F103" s="1"/>
      <c r="G103" s="1"/>
      <c r="H103" s="1" t="s">
        <v>71</v>
      </c>
      <c r="K103" s="1" t="s">
        <v>72</v>
      </c>
    </row>
    <row r="104" spans="2:16">
      <c r="B104" s="63"/>
      <c r="C104" s="1" t="s">
        <v>80</v>
      </c>
      <c r="D104" s="1"/>
      <c r="E104" s="55" t="s">
        <v>169</v>
      </c>
      <c r="K104" s="1" t="s">
        <v>83</v>
      </c>
    </row>
    <row r="105" spans="2:16">
      <c r="B105" s="69"/>
      <c r="E105" s="71"/>
      <c r="K105" s="1" t="s">
        <v>83</v>
      </c>
    </row>
    <row r="106" spans="2:16">
      <c r="B106" s="69"/>
    </row>
    <row r="107" spans="2:16">
      <c r="B107" s="143" t="s">
        <v>191</v>
      </c>
    </row>
    <row r="108" spans="2:16">
      <c r="B108" s="69"/>
    </row>
    <row r="109" spans="2:16">
      <c r="B109" s="143" t="s">
        <v>192</v>
      </c>
    </row>
  </sheetData>
  <customSheetViews>
    <customSheetView guid="{D6C437D9-C7DB-4EE7-8642-A34FD9E4D5B1}" filter="1" showAutoFilter="1">
      <autoFilter ref="B4:Q110" xr:uid="{DC33F5DA-AB4A-4AB8-8460-DBFF8A7E851F}">
        <filterColumn colId="6">
          <filters>
            <filter val="◯"/>
          </filters>
        </filterColumn>
        <filterColumn colId="8">
          <filters blank="1"/>
        </filterColumn>
      </autoFilter>
    </customSheetView>
  </customSheetViews>
  <mergeCells count="1">
    <mergeCell ref="O47:O51"/>
  </mergeCells>
  <dataValidations count="2">
    <dataValidation type="list" allowBlank="1" showErrorMessage="1" sqref="M5:N18 M20:N21 M23:N25 M27:N27 M29:N36 M38:N43 M45:N55 M57:N67 M69:N73 M75:N80 M82:N83 M85:N86 M88:N89 M93:N94 M96:N98" xr:uid="{00000000-0002-0000-0400-000000000000}">
      <formula1>"未選択,Keane,荒尾,森永,水岡,辻"</formula1>
    </dataValidation>
    <dataValidation type="list" allowBlank="1" showErrorMessage="1" sqref="L5:L18 L20:L21 L23:L25 L27 L29:L36 L38:L43 L45:L55 L57:L67 L69:L73 L75:L80 L82:L83 L85:L86 L88:L89 L93:L94 L96:L98" xr:uid="{00000000-0002-0000-0400-000001000000}">
      <formula1>"API作業中,API PR完了,未選択,レビュー完了,修正依頼,修正 PR完了,修正作業中"</formula1>
    </dataValidation>
  </dataValidations>
  <hyperlinks>
    <hyperlink ref="B1" r:id="rId1" xr:uid="{00000000-0004-0000-0400-000000000000}"/>
    <hyperlink ref="B2" r:id="rId2" xr:uid="{00000000-0004-0000-0400-000001000000}"/>
    <hyperlink ref="B3" r:id="rId3" location="gid=1294591345" xr:uid="{00000000-0004-0000-0400-000002000000}"/>
    <hyperlink ref="B5" location="'レース一覧'!A1" display="レース一覧" xr:uid="{00000000-0004-0000-0400-000003000000}"/>
    <hyperlink ref="B20" location="'レース一覧 &gt; ファーストビュー(注目レース)'!A1" display="レース一覧 &gt; ファーストビュー" xr:uid="{00000000-0004-0000-0400-000004000000}"/>
    <hyperlink ref="B23" location="'レース一覧 &gt; アラート情報'!A1" display="レース一覧 &gt; アラート情報" xr:uid="{00000000-0004-0000-0400-000005000000}"/>
    <hyperlink ref="B27" location="'レース一覧 &gt; 重賞一覧'!A1" display="レース一覧 &gt; 重賞一覧" xr:uid="{00000000-0004-0000-0400-000006000000}"/>
    <hyperlink ref="B29" location="'レース詳細 '!A1" display="レース詳細" xr:uid="{00000000-0004-0000-0400-000007000000}"/>
    <hyperlink ref="B30" location="'レース詳細 '!A1" display="レース詳細" xr:uid="{00000000-0004-0000-0400-000008000000}"/>
    <hyperlink ref="B38" location="'レース詳細 &gt; ヘッダー'!A1" display="レース詳細 &gt; ヘッダー" xr:uid="{00000000-0004-0000-0400-000009000000}"/>
    <hyperlink ref="B39" location="'レース詳細 &gt; ヘッダー'!A1" display="レース詳細 &gt; ヘッダー" xr:uid="{00000000-0004-0000-0400-00000A000000}"/>
    <hyperlink ref="B45" location="'レース詳細 &gt; 出馬表'!A1" display="レース詳細 &gt; 出馬表" xr:uid="{00000000-0004-0000-0400-00000B000000}"/>
    <hyperlink ref="B57" location="'レース詳細 &gt; 出馬表 &gt; カスタム出馬表'!A1" display="レース詳細 &gt; 出馬表 &gt; カスタム出馬表" xr:uid="{00000000-0004-0000-0400-00000C000000}"/>
    <hyperlink ref="B64" location="'レース詳細 &gt; 出馬表 &gt; カスタム出馬表'!A1" display="レース詳細 &gt; 出馬表 &gt; カスタム出馬表" xr:uid="{00000000-0004-0000-0400-00000D000000}"/>
    <hyperlink ref="B69" location="'レース詳細 &gt; 出馬表 &gt; カスタム出馬表 &gt; 表示設定'!A1" display="レース詳細 &gt; 出馬表 &gt; カスタム出馬表 &gt; 表示設定" xr:uid="{00000000-0004-0000-0400-00000E000000}"/>
    <hyperlink ref="B75" location="'レース詳細 &gt; 出馬表 &gt; みんなの予想'!A1" display="レース詳細 &gt; 出馬表 &gt; みんなの予想" xr:uid="{00000000-0004-0000-0400-00000F000000}"/>
    <hyperlink ref="B82" location="'レース詳細 &gt; 出馬表 &gt; オッズ×指数分布図'!A1" display="レース詳細 &gt; 出馬表 &gt; オッズ×指数分布図" xr:uid="{00000000-0004-0000-0400-000010000000}"/>
    <hyperlink ref="B83" location="'レース詳細 &gt; 出馬表 &gt; オッズ×指数分布図'!A1" display="レース詳細 &gt; 出馬表 &gt; オッズ×指数分布図" xr:uid="{00000000-0004-0000-0400-000011000000}"/>
    <hyperlink ref="B84" location="'レース詳細・レースメモ'!A1" display="レース詳細・レースメモ" xr:uid="{00000000-0004-0000-0400-000012000000}"/>
    <hyperlink ref="B85" location="'レース詳細・レースメモ'!A1" display="レース詳細・レースメモ" xr:uid="{00000000-0004-0000-0400-000013000000}"/>
    <hyperlink ref="B87" location="'レース詳細・馬メモ'!A1" display="レース詳細・馬メモ" xr:uid="{00000000-0004-0000-0400-000014000000}"/>
    <hyperlink ref="B88" location="'レース詳細・馬メモ'!A1" display="レース詳細・馬メモ" xr:uid="{00000000-0004-0000-0400-000015000000}"/>
    <hyperlink ref="B93" location="'レース詳細 &gt; 出馬表 &gt; MY馬登録モーダル'!A1" display="レース詳細 &gt; 出馬表 &gt; [MY馬登録モーダル]" xr:uid="{00000000-0004-0000-0400-000016000000}"/>
    <hyperlink ref="B96" location="'レース詳細 &gt; 出馬表 &gt; MY騎手登録モーダル'!A1" display="レース詳細 &gt; 出馬表 &gt; [MY騎手登録モーダル]" xr:uid="{00000000-0004-0000-0400-000017000000}"/>
    <hyperlink ref="B100" location="'レース詳細 &gt; 出馬表 &gt; レース予想入力用モーダル '!A1" display="レース詳細 &gt; 出馬表 &gt; [レース予想入力用モーダル]" xr:uid="{00000000-0004-0000-0400-000018000000}"/>
    <hyperlink ref="B103" location="'レース詳細 &gt; 出馬表 &gt; 最終コーナー展開MY予想モーダル'!A1" display="レース詳細 &gt; 出馬表 &gt; [最終コーナー展開予想登録モーダル]" xr:uid="{00000000-0004-0000-0400-000019000000}"/>
    <hyperlink ref="B107" location="'レース一覧 &gt; 条件絞り込みモーダル'!A1" display="レース一覧&gt;条件絞り込みモーダル" xr:uid="{00000000-0004-0000-0400-00001A000000}"/>
    <hyperlink ref="B109" location="'共通モーダル・印メモ'!A1" display="レース詳細 &gt; 印メモ" xr:uid="{00000000-0004-0000-0400-00001B000000}"/>
  </hyperlinks>
  <pageMargins left="0" right="0" top="0" bottom="0" header="0" footer="0"/>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2A4A-F391-4F2B-94E3-30C628464616}">
  <sheetPr>
    <tabColor theme="4" tint="0.59999389629810485"/>
  </sheetPr>
  <dimension ref="A2:HV42"/>
  <sheetViews>
    <sheetView zoomScaleNormal="100" workbookViewId="0">
      <pane xSplit="8" topLeftCell="I1" activePane="topRight" state="frozen"/>
      <selection pane="topRight" activeCell="E5" sqref="A1:E5"/>
      <selection sqref="A1:H1"/>
    </sheetView>
  </sheetViews>
  <sheetFormatPr defaultColWidth="3.85546875" defaultRowHeight="15" customHeight="1"/>
  <cols>
    <col min="1" max="1" width="4.140625" style="192" customWidth="1"/>
    <col min="2" max="2" width="10.85546875" style="192" customWidth="1"/>
    <col min="3" max="3" width="11.42578125" style="192" customWidth="1"/>
    <col min="4" max="4" width="13.85546875" style="192" customWidth="1"/>
    <col min="5" max="5" width="18.28515625" style="192" customWidth="1"/>
    <col min="6" max="6" width="6.7109375" style="192" bestFit="1" customWidth="1"/>
    <col min="7" max="7" width="7.85546875" style="192" customWidth="1"/>
    <col min="8" max="8" width="6.42578125" style="192" customWidth="1"/>
    <col min="9" max="9" width="9.140625" style="192" bestFit="1" customWidth="1"/>
    <col min="10" max="10" width="11.140625" style="192" bestFit="1" customWidth="1"/>
    <col min="11" max="11" width="8.28515625" style="192" customWidth="1"/>
    <col min="12" max="12" width="12.28515625" style="192" customWidth="1"/>
    <col min="13" max="13" width="13.28515625" style="192" bestFit="1" customWidth="1"/>
    <col min="14" max="14" width="12.140625" style="192" customWidth="1"/>
    <col min="15" max="18" width="9.140625" style="192" bestFit="1" customWidth="1"/>
    <col min="19" max="19" width="18" style="193" customWidth="1"/>
    <col min="20" max="35" width="9.140625" style="162" bestFit="1" customWidth="1"/>
    <col min="36" max="36" width="13.85546875" style="162" customWidth="1"/>
    <col min="37" max="37" width="9.140625" style="162" bestFit="1" customWidth="1"/>
    <col min="38" max="38" width="18.85546875" style="162" customWidth="1"/>
    <col min="39" max="48" width="9.140625" style="162" bestFit="1" customWidth="1"/>
    <col min="49" max="50" width="10.85546875" style="167" customWidth="1"/>
    <col min="51" max="51" width="9.140625" style="167" bestFit="1" customWidth="1"/>
    <col min="52" max="52" width="17.5703125" style="167" customWidth="1"/>
    <col min="53" max="53" width="33.7109375" style="167" customWidth="1"/>
    <col min="54" max="54" width="20" style="167" customWidth="1"/>
    <col min="55" max="56" width="11.42578125" style="167" customWidth="1"/>
    <col min="57" max="57" width="26.85546875" style="167" customWidth="1"/>
    <col min="58" max="58" width="22.7109375" style="167" customWidth="1"/>
    <col min="59" max="59" width="35.42578125" style="167" customWidth="1"/>
    <col min="60" max="60" width="46" style="167" customWidth="1"/>
    <col min="61" max="61" width="11.42578125" style="167" customWidth="1"/>
    <col min="62" max="69" width="9.140625" style="167" bestFit="1" customWidth="1"/>
    <col min="70" max="70" width="3.85546875" style="167" customWidth="1"/>
    <col min="71" max="85" width="9.140625" style="167" bestFit="1" customWidth="1"/>
    <col min="86" max="86" width="3.85546875" style="167" customWidth="1"/>
    <col min="87" max="112" width="9.140625" style="167" bestFit="1" customWidth="1"/>
    <col min="113" max="113" width="3.85546875" style="167" customWidth="1"/>
    <col min="114" max="133" width="9.140625" style="167" bestFit="1" customWidth="1"/>
    <col min="134" max="134" width="3.85546875" style="167" customWidth="1"/>
    <col min="135" max="181" width="0" style="167" hidden="1" customWidth="1"/>
    <col min="182" max="182" width="3.85546875" style="167" hidden="1" customWidth="1"/>
    <col min="183" max="229" width="0" style="167" hidden="1" customWidth="1"/>
    <col min="230" max="230" width="3.85546875" style="167" hidden="1" customWidth="1"/>
    <col min="231" max="16384" width="3.85546875" style="167"/>
  </cols>
  <sheetData>
    <row r="2" spans="1:193" ht="15" customHeight="1">
      <c r="B2" s="164"/>
      <c r="C2" s="165" t="s">
        <v>205</v>
      </c>
      <c r="D2" s="165" t="s">
        <v>206</v>
      </c>
      <c r="E2" s="165" t="s">
        <v>207</v>
      </c>
    </row>
    <row r="3" spans="1:193" ht="15" customHeight="1">
      <c r="B3" s="164"/>
      <c r="C3" s="165" t="s">
        <v>208</v>
      </c>
      <c r="D3" s="165" t="s">
        <v>209</v>
      </c>
      <c r="E3" s="165" t="s">
        <v>210</v>
      </c>
    </row>
    <row r="4" spans="1:193" ht="27.75" customHeight="1">
      <c r="B4" s="164"/>
      <c r="C4" s="165" t="s">
        <v>144</v>
      </c>
      <c r="D4" s="165" t="s">
        <v>211</v>
      </c>
      <c r="E4" s="197" t="s">
        <v>212</v>
      </c>
      <c r="AY4" s="168" t="s">
        <v>213</v>
      </c>
    </row>
    <row r="5" spans="1:193" ht="51" customHeight="1">
      <c r="C5" s="165" t="s">
        <v>214</v>
      </c>
      <c r="D5" s="165" t="s">
        <v>215</v>
      </c>
      <c r="E5" s="197" t="s">
        <v>216</v>
      </c>
    </row>
    <row r="7" spans="1:193" ht="15" customHeight="1">
      <c r="AW7" s="163"/>
      <c r="AX7" s="163"/>
      <c r="AY7" s="162"/>
      <c r="AZ7" s="163"/>
      <c r="BA7" s="163"/>
      <c r="BJ7" s="164" t="s">
        <v>217</v>
      </c>
      <c r="BK7" s="165">
        <f>COUNTIF(BK20:BK3766,$BJ7)</f>
        <v>0</v>
      </c>
      <c r="BL7" s="165">
        <f>COUNTIF(BL20:BL3766,$BJ7)</f>
        <v>0</v>
      </c>
      <c r="BM7" s="165">
        <f>COUNTIF(BM20:BM3766,$BJ7)</f>
        <v>0</v>
      </c>
      <c r="BN7" s="165">
        <f>COUNTIF(BN20:BN3766,$BJ7)</f>
        <v>0</v>
      </c>
      <c r="BO7" s="165">
        <f>COUNTIF(BO20:BO3766,$BJ7)</f>
        <v>0</v>
      </c>
      <c r="BP7" s="165">
        <f>COUNTIF(BP20:BP3766,$BJ7)</f>
        <v>0</v>
      </c>
      <c r="BQ7" s="165">
        <f>COUNTIF(BQ20:BQ3766,$BJ7)</f>
        <v>0</v>
      </c>
      <c r="BR7" s="166">
        <f>SUM(BK7:BQ7)</f>
        <v>0</v>
      </c>
    </row>
    <row r="8" spans="1:193" ht="15" customHeight="1">
      <c r="AX8" s="162"/>
      <c r="AY8" s="163"/>
      <c r="AZ8" s="163"/>
      <c r="BA8" s="162"/>
      <c r="BB8" s="163"/>
      <c r="BJ8" s="164" t="s">
        <v>218</v>
      </c>
      <c r="BK8" s="165">
        <f>COUNTIF(BK20:BK3766,$BJ8)</f>
        <v>0</v>
      </c>
      <c r="BL8" s="165">
        <f>COUNTIF(BL20:BL3766,$BJ8)</f>
        <v>0</v>
      </c>
      <c r="BM8" s="165">
        <f>COUNTIF(BM20:BM3766,$BJ8)</f>
        <v>0</v>
      </c>
      <c r="BN8" s="165">
        <f>COUNTIF(BN20:BN3766,$BJ8)</f>
        <v>0</v>
      </c>
      <c r="BO8" s="165">
        <f>COUNTIF(BO20:BO3766,$BJ8)</f>
        <v>0</v>
      </c>
      <c r="BP8" s="165">
        <f>COUNTIF(BP20:BP3766,$BJ8)</f>
        <v>0</v>
      </c>
      <c r="BQ8" s="165">
        <f>COUNTIF(BQ20:BQ3766,$BJ8)</f>
        <v>0</v>
      </c>
      <c r="BR8" s="166">
        <f>SUM(BK8:BQ8)</f>
        <v>0</v>
      </c>
    </row>
    <row r="9" spans="1:193" ht="15" customHeight="1">
      <c r="AY9" s="168"/>
      <c r="AZ9" s="168"/>
      <c r="BA9" s="168"/>
      <c r="BB9" s="168"/>
      <c r="BJ9" s="164" t="s">
        <v>219</v>
      </c>
      <c r="BK9" s="165">
        <f>AY7-BK7-BK8</f>
        <v>0</v>
      </c>
      <c r="BL9" s="165" t="e">
        <f>#REF!-BL7-BL8</f>
        <v>#REF!</v>
      </c>
      <c r="BM9" s="165">
        <f>AZ7-BM7-BM8</f>
        <v>0</v>
      </c>
      <c r="BN9" s="165">
        <f>BA7-BN7-BN8</f>
        <v>0</v>
      </c>
      <c r="BO9" s="165">
        <f>BB7-BO7-BO8</f>
        <v>0</v>
      </c>
      <c r="BP9" s="165" t="e">
        <f>#REF!-BP7-BP8</f>
        <v>#REF!</v>
      </c>
      <c r="BQ9" s="165" t="e">
        <f>#REF!-BQ7-BQ8</f>
        <v>#REF!</v>
      </c>
      <c r="BR9" s="166" t="e">
        <f>SUM(BK9:BQ9)</f>
        <v>#REF!</v>
      </c>
    </row>
    <row r="10" spans="1:193" ht="14.25" customHeight="1">
      <c r="AY10" s="168"/>
      <c r="AZ10" s="168"/>
      <c r="BA10" s="168"/>
      <c r="BB10" s="168"/>
      <c r="BJ10" s="168"/>
      <c r="BK10" s="168"/>
      <c r="BL10" s="168"/>
      <c r="BM10" s="168"/>
      <c r="BN10" s="168"/>
      <c r="BO10" s="168"/>
      <c r="BP10" s="168"/>
      <c r="BQ10" s="168"/>
    </row>
    <row r="11" spans="1:193" ht="22.5" customHeight="1">
      <c r="A11" s="355" t="s">
        <v>220</v>
      </c>
      <c r="B11" s="356"/>
      <c r="C11" s="356"/>
      <c r="D11" s="356"/>
      <c r="E11" s="357" t="s">
        <v>221</v>
      </c>
      <c r="F11" s="358"/>
      <c r="G11" s="358"/>
      <c r="H11" s="358"/>
      <c r="I11" s="184"/>
      <c r="J11" s="359" t="s">
        <v>222</v>
      </c>
      <c r="K11" s="360"/>
      <c r="L11" s="361"/>
      <c r="M11" s="359" t="s">
        <v>223</v>
      </c>
      <c r="N11" s="360"/>
      <c r="O11" s="360"/>
      <c r="P11" s="360"/>
      <c r="Q11" s="360"/>
      <c r="R11" s="360"/>
      <c r="S11" s="362"/>
      <c r="T11" s="346"/>
      <c r="U11" s="363"/>
      <c r="V11" s="346" t="s">
        <v>224</v>
      </c>
      <c r="W11" s="363"/>
      <c r="X11" s="343">
        <v>45915</v>
      </c>
      <c r="Y11" s="344"/>
      <c r="Z11" s="344"/>
      <c r="AA11" s="344"/>
      <c r="AB11" s="345"/>
      <c r="AC11" s="346" t="s">
        <v>225</v>
      </c>
      <c r="AD11" s="347"/>
      <c r="AE11" s="348">
        <v>45915</v>
      </c>
      <c r="AF11" s="349"/>
      <c r="AG11" s="349"/>
      <c r="AH11" s="349"/>
      <c r="AI11" s="349"/>
      <c r="AJ11" s="346" t="s">
        <v>226</v>
      </c>
      <c r="AK11" s="347"/>
      <c r="AY11" s="350"/>
      <c r="AZ11" s="351"/>
      <c r="BA11" s="351"/>
      <c r="BB11" s="351"/>
      <c r="BC11" s="351"/>
      <c r="BD11" s="351"/>
      <c r="BE11" s="351"/>
      <c r="BF11" s="351"/>
      <c r="BG11" s="351"/>
      <c r="BH11" s="351"/>
      <c r="BJ11" s="168"/>
      <c r="BK11" s="352" t="s">
        <v>227</v>
      </c>
      <c r="BL11" s="353"/>
      <c r="BM11" s="353"/>
      <c r="BN11" s="353"/>
      <c r="BO11" s="353"/>
      <c r="BP11" s="353"/>
      <c r="BQ11" s="354"/>
      <c r="BU11" s="169"/>
      <c r="CG11" s="169"/>
      <c r="CS11" s="169"/>
      <c r="DA11" s="169"/>
      <c r="DB11" s="169"/>
      <c r="DC11" s="169"/>
      <c r="DD11" s="169"/>
      <c r="DE11" s="169"/>
      <c r="DQ11" s="169"/>
      <c r="EC11" s="169"/>
      <c r="EO11" s="169"/>
      <c r="EW11" s="169"/>
      <c r="EX11" s="169"/>
      <c r="EY11" s="169"/>
      <c r="EZ11" s="169"/>
      <c r="FA11" s="169"/>
      <c r="FM11" s="169"/>
      <c r="FY11" s="169"/>
      <c r="GK11" s="169"/>
    </row>
    <row r="12" spans="1:193" ht="22.5" customHeight="1">
      <c r="A12" s="331" t="s">
        <v>83</v>
      </c>
      <c r="B12" s="332"/>
      <c r="C12" s="332"/>
      <c r="D12" s="332"/>
      <c r="E12" s="333" t="s">
        <v>228</v>
      </c>
      <c r="F12" s="334"/>
      <c r="G12" s="334"/>
      <c r="H12" s="334"/>
      <c r="I12" s="334"/>
      <c r="J12" s="335" t="s">
        <v>229</v>
      </c>
      <c r="K12" s="336"/>
      <c r="L12" s="337"/>
      <c r="M12" s="338" t="s">
        <v>230</v>
      </c>
      <c r="N12" s="339"/>
      <c r="O12" s="339"/>
      <c r="P12" s="339"/>
      <c r="Q12" s="339"/>
      <c r="R12" s="339"/>
      <c r="S12" s="340"/>
      <c r="T12" s="341"/>
      <c r="U12" s="342"/>
      <c r="V12" s="341" t="s">
        <v>231</v>
      </c>
      <c r="W12" s="342"/>
      <c r="X12" s="319" t="s">
        <v>232</v>
      </c>
      <c r="Y12" s="320"/>
      <c r="Z12" s="320"/>
      <c r="AA12" s="320"/>
      <c r="AB12" s="321"/>
      <c r="AC12" s="322" t="s">
        <v>233</v>
      </c>
      <c r="AD12" s="323"/>
      <c r="AE12" s="324" t="s">
        <v>234</v>
      </c>
      <c r="AF12" s="325"/>
      <c r="AG12" s="325"/>
      <c r="AH12" s="325"/>
      <c r="AI12" s="325"/>
      <c r="AJ12" s="322" t="s">
        <v>235</v>
      </c>
      <c r="AK12" s="323"/>
      <c r="AY12" s="311" t="s">
        <v>236</v>
      </c>
      <c r="AZ12" s="311"/>
      <c r="BA12" s="311"/>
      <c r="BB12" s="326"/>
      <c r="BC12" s="327" t="s">
        <v>237</v>
      </c>
      <c r="BD12" s="328"/>
      <c r="BE12" s="328"/>
      <c r="BF12" s="328"/>
      <c r="BG12" s="328"/>
      <c r="BH12" s="328"/>
      <c r="BJ12" s="168"/>
      <c r="BK12" s="311"/>
      <c r="BL12" s="311"/>
      <c r="BM12" s="311"/>
      <c r="BN12" s="311"/>
      <c r="BO12" s="311"/>
      <c r="BP12" s="311"/>
      <c r="BQ12" s="311"/>
      <c r="BU12" s="169"/>
      <c r="CG12" s="169"/>
      <c r="CS12" s="169"/>
      <c r="DA12" s="169"/>
      <c r="DB12" s="169"/>
      <c r="DC12" s="169"/>
      <c r="DD12" s="169"/>
      <c r="DE12" s="169"/>
      <c r="DQ12" s="169"/>
      <c r="EC12" s="169"/>
      <c r="EO12" s="169"/>
      <c r="EW12" s="169"/>
      <c r="EX12" s="169"/>
      <c r="EY12" s="169"/>
      <c r="EZ12" s="169"/>
      <c r="FA12" s="169"/>
      <c r="FM12" s="169"/>
      <c r="FY12" s="169"/>
      <c r="GK12" s="169"/>
    </row>
    <row r="13" spans="1:193" ht="13.5" customHeight="1">
      <c r="A13" s="170" t="s">
        <v>238</v>
      </c>
      <c r="B13" s="171"/>
      <c r="C13" s="171"/>
      <c r="D13" s="171"/>
      <c r="E13" s="171"/>
      <c r="F13" s="170"/>
      <c r="G13" s="171"/>
      <c r="H13" s="172"/>
      <c r="I13" s="237"/>
      <c r="J13" s="237"/>
      <c r="K13" s="237"/>
      <c r="L13" s="237"/>
      <c r="M13" s="237"/>
      <c r="N13" s="237"/>
      <c r="O13" s="237"/>
      <c r="P13" s="237"/>
      <c r="Q13" s="237"/>
      <c r="R13" s="237"/>
      <c r="S13" s="312"/>
      <c r="Z13" s="173"/>
      <c r="AA13" s="173"/>
      <c r="AB13" s="173"/>
      <c r="AC13" s="173"/>
      <c r="AD13" s="173"/>
      <c r="AE13" s="173"/>
      <c r="AF13" s="173"/>
      <c r="AG13" s="173"/>
      <c r="AH13" s="173"/>
      <c r="AI13" s="173"/>
      <c r="AJ13" s="173"/>
      <c r="AK13" s="173"/>
      <c r="AL13" s="173"/>
      <c r="AM13" s="173"/>
      <c r="AN13" s="173"/>
      <c r="AO13" s="173"/>
      <c r="AP13" s="174"/>
      <c r="AQ13" s="174"/>
      <c r="AR13" s="174"/>
      <c r="AS13" s="174"/>
      <c r="AT13" s="174"/>
      <c r="AU13" s="174"/>
      <c r="AV13" s="174"/>
      <c r="AY13" s="313" t="s">
        <v>239</v>
      </c>
      <c r="AZ13" s="313" t="s">
        <v>240</v>
      </c>
      <c r="BA13" s="313" t="s">
        <v>241</v>
      </c>
      <c r="BB13" s="314" t="s">
        <v>242</v>
      </c>
      <c r="BC13" s="317" t="s">
        <v>239</v>
      </c>
      <c r="BD13" s="291" t="s">
        <v>243</v>
      </c>
      <c r="BE13" s="291" t="s">
        <v>244</v>
      </c>
      <c r="BF13" s="291" t="s">
        <v>245</v>
      </c>
      <c r="BG13" s="291" t="s">
        <v>246</v>
      </c>
      <c r="BH13" s="291" t="s">
        <v>247</v>
      </c>
      <c r="BJ13" s="168"/>
      <c r="BK13" s="313"/>
      <c r="BL13" s="313"/>
      <c r="BM13" s="313"/>
      <c r="BN13" s="313"/>
      <c r="BO13" s="313"/>
      <c r="BP13" s="313"/>
      <c r="BQ13" s="313"/>
    </row>
    <row r="14" spans="1:193" ht="13.5">
      <c r="A14" s="277" t="s">
        <v>248</v>
      </c>
      <c r="B14" s="279" t="s">
        <v>249</v>
      </c>
      <c r="C14" s="280"/>
      <c r="D14" s="280"/>
      <c r="E14" s="280"/>
      <c r="F14" s="280"/>
      <c r="G14" s="280"/>
      <c r="H14" s="281"/>
      <c r="I14" s="285" t="s">
        <v>250</v>
      </c>
      <c r="J14" s="286"/>
      <c r="K14" s="289" t="s">
        <v>209</v>
      </c>
      <c r="L14" s="289" t="s">
        <v>251</v>
      </c>
      <c r="M14" s="285" t="s">
        <v>252</v>
      </c>
      <c r="N14" s="289" t="s">
        <v>253</v>
      </c>
      <c r="O14" s="289" t="s">
        <v>254</v>
      </c>
      <c r="P14" s="289" t="s">
        <v>255</v>
      </c>
      <c r="Q14" s="289" t="s">
        <v>256</v>
      </c>
      <c r="R14" s="289" t="s">
        <v>257</v>
      </c>
      <c r="S14" s="289" t="s">
        <v>258</v>
      </c>
      <c r="T14" s="293" t="s">
        <v>259</v>
      </c>
      <c r="U14" s="294"/>
      <c r="V14" s="294"/>
      <c r="W14" s="294"/>
      <c r="X14" s="294"/>
      <c r="Y14" s="295"/>
      <c r="Z14" s="299"/>
      <c r="AA14" s="300"/>
      <c r="AB14" s="300"/>
      <c r="AC14" s="300"/>
      <c r="AD14" s="300"/>
      <c r="AE14" s="300"/>
      <c r="AF14" s="300"/>
      <c r="AG14" s="300"/>
      <c r="AH14" s="300"/>
      <c r="AI14" s="300"/>
      <c r="AJ14" s="300"/>
      <c r="AK14" s="300"/>
      <c r="AL14" s="300"/>
      <c r="AM14" s="300"/>
      <c r="AN14" s="300"/>
      <c r="AO14" s="301"/>
      <c r="AP14" s="302" t="s">
        <v>259</v>
      </c>
      <c r="AQ14" s="303"/>
      <c r="AR14" s="303"/>
      <c r="AS14" s="303"/>
      <c r="AT14" s="303"/>
      <c r="AU14" s="303"/>
      <c r="AV14" s="304"/>
      <c r="AY14" s="291"/>
      <c r="AZ14" s="291"/>
      <c r="BA14" s="291"/>
      <c r="BB14" s="315"/>
      <c r="BC14" s="317"/>
      <c r="BD14" s="291"/>
      <c r="BE14" s="291"/>
      <c r="BF14" s="291"/>
      <c r="BG14" s="291"/>
      <c r="BH14" s="291"/>
      <c r="BJ14" s="168"/>
      <c r="BK14" s="329"/>
      <c r="BL14" s="329"/>
      <c r="BM14" s="329"/>
      <c r="BN14" s="329"/>
      <c r="BO14" s="329"/>
      <c r="BP14" s="329"/>
      <c r="BQ14" s="329"/>
    </row>
    <row r="15" spans="1:193" ht="13.5">
      <c r="A15" s="278"/>
      <c r="B15" s="282"/>
      <c r="C15" s="283"/>
      <c r="D15" s="283"/>
      <c r="E15" s="283"/>
      <c r="F15" s="283"/>
      <c r="G15" s="283"/>
      <c r="H15" s="284"/>
      <c r="I15" s="287"/>
      <c r="J15" s="288"/>
      <c r="K15" s="290"/>
      <c r="L15" s="290"/>
      <c r="M15" s="287"/>
      <c r="N15" s="290"/>
      <c r="O15" s="290"/>
      <c r="P15" s="290"/>
      <c r="Q15" s="290"/>
      <c r="R15" s="290"/>
      <c r="S15" s="290"/>
      <c r="T15" s="296"/>
      <c r="U15" s="297"/>
      <c r="V15" s="297"/>
      <c r="W15" s="297"/>
      <c r="X15" s="297"/>
      <c r="Y15" s="298"/>
      <c r="Z15" s="306" t="s">
        <v>260</v>
      </c>
      <c r="AA15" s="307"/>
      <c r="AB15" s="307"/>
      <c r="AC15" s="307"/>
      <c r="AD15" s="307"/>
      <c r="AE15" s="307"/>
      <c r="AF15" s="307"/>
      <c r="AG15" s="308"/>
      <c r="AH15" s="309" t="s">
        <v>261</v>
      </c>
      <c r="AI15" s="307"/>
      <c r="AJ15" s="307"/>
      <c r="AK15" s="307"/>
      <c r="AL15" s="307"/>
      <c r="AM15" s="307"/>
      <c r="AN15" s="307"/>
      <c r="AO15" s="310"/>
      <c r="AP15" s="296"/>
      <c r="AQ15" s="297"/>
      <c r="AR15" s="297"/>
      <c r="AS15" s="297"/>
      <c r="AT15" s="297"/>
      <c r="AU15" s="297"/>
      <c r="AV15" s="305"/>
      <c r="AY15" s="292"/>
      <c r="AZ15" s="292"/>
      <c r="BA15" s="292"/>
      <c r="BB15" s="316"/>
      <c r="BC15" s="318"/>
      <c r="BD15" s="292"/>
      <c r="BE15" s="292"/>
      <c r="BF15" s="292"/>
      <c r="BG15" s="292"/>
      <c r="BH15" s="292"/>
      <c r="BJ15" s="168"/>
      <c r="BK15" s="330"/>
      <c r="BL15" s="330"/>
      <c r="BM15" s="330"/>
      <c r="BN15" s="330"/>
      <c r="BO15" s="330"/>
      <c r="BP15" s="330"/>
      <c r="BQ15" s="330"/>
    </row>
    <row r="16" spans="1:193" ht="13.5" customHeight="1">
      <c r="A16" s="185">
        <v>1</v>
      </c>
      <c r="B16" s="186" t="s">
        <v>262</v>
      </c>
      <c r="C16" s="187"/>
      <c r="D16" s="187"/>
      <c r="E16" s="187"/>
      <c r="F16" s="187"/>
      <c r="G16" s="187"/>
      <c r="H16" s="187"/>
      <c r="I16" s="187"/>
      <c r="J16" s="187"/>
      <c r="K16" s="187"/>
      <c r="L16" s="187"/>
      <c r="M16" s="187"/>
      <c r="N16" s="187"/>
      <c r="O16" s="187"/>
      <c r="P16" s="187"/>
      <c r="Q16" s="187"/>
      <c r="R16" s="187"/>
      <c r="S16" s="194"/>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6"/>
      <c r="AU16" s="176"/>
      <c r="AV16" s="199"/>
      <c r="AY16" s="177"/>
      <c r="AZ16" s="177"/>
      <c r="BA16" s="177"/>
      <c r="BB16" s="201"/>
      <c r="BC16" s="204"/>
      <c r="BD16" s="177"/>
      <c r="BE16" s="177"/>
      <c r="BF16" s="177"/>
      <c r="BG16" s="177"/>
      <c r="BH16" s="177"/>
      <c r="BJ16" s="168"/>
      <c r="BK16" s="177"/>
      <c r="BL16" s="178"/>
      <c r="BM16" s="177"/>
      <c r="BN16" s="177"/>
      <c r="BO16" s="177"/>
      <c r="BP16" s="177"/>
      <c r="BQ16" s="177"/>
    </row>
    <row r="17" spans="1:69" ht="13.5" customHeight="1">
      <c r="A17" s="179">
        <v>1</v>
      </c>
      <c r="B17" s="188" t="s">
        <v>263</v>
      </c>
      <c r="C17" s="196"/>
      <c r="D17" s="196"/>
      <c r="E17" s="196"/>
      <c r="F17" s="196"/>
      <c r="G17" s="196"/>
      <c r="H17" s="196"/>
      <c r="I17" s="234" t="s">
        <v>264</v>
      </c>
      <c r="J17" s="235"/>
      <c r="K17" s="191"/>
      <c r="L17" s="191" t="b">
        <v>1</v>
      </c>
      <c r="M17" s="191"/>
      <c r="N17" s="191"/>
      <c r="O17" s="191"/>
      <c r="P17" s="191"/>
      <c r="Q17" s="191"/>
      <c r="R17" s="191"/>
      <c r="S17" s="191"/>
      <c r="T17" s="229"/>
      <c r="U17" s="230"/>
      <c r="V17" s="230"/>
      <c r="W17" s="230"/>
      <c r="X17" s="230"/>
      <c r="Y17" s="231"/>
      <c r="Z17" s="265"/>
      <c r="AA17" s="266"/>
      <c r="AB17" s="266"/>
      <c r="AC17" s="266"/>
      <c r="AD17" s="266"/>
      <c r="AE17" s="266"/>
      <c r="AF17" s="266"/>
      <c r="AG17" s="267"/>
      <c r="AH17" s="265"/>
      <c r="AI17" s="266"/>
      <c r="AJ17" s="266"/>
      <c r="AK17" s="266"/>
      <c r="AL17" s="266"/>
      <c r="AM17" s="266"/>
      <c r="AN17" s="266"/>
      <c r="AO17" s="274"/>
      <c r="AP17" s="232"/>
      <c r="AQ17" s="230"/>
      <c r="AR17" s="230"/>
      <c r="AS17" s="230"/>
      <c r="AT17" s="230"/>
      <c r="AU17" s="230"/>
      <c r="AV17" s="233"/>
      <c r="AY17" s="195"/>
      <c r="AZ17" s="195"/>
      <c r="BA17" s="195"/>
      <c r="BB17" s="202"/>
      <c r="BC17" s="205"/>
      <c r="BD17" s="195"/>
      <c r="BE17" s="195"/>
      <c r="BF17" s="195"/>
      <c r="BG17" s="195"/>
      <c r="BH17" s="195"/>
      <c r="BJ17" s="168"/>
      <c r="BK17" s="195"/>
      <c r="BL17" s="195"/>
      <c r="BM17" s="195"/>
      <c r="BN17" s="195"/>
      <c r="BO17" s="195"/>
      <c r="BP17" s="195"/>
      <c r="BQ17" s="195"/>
    </row>
    <row r="18" spans="1:69" ht="13.5" customHeight="1">
      <c r="A18" s="179">
        <v>2</v>
      </c>
      <c r="B18" s="188"/>
      <c r="C18" s="196"/>
      <c r="D18" s="196"/>
      <c r="E18" s="196"/>
      <c r="F18" s="196"/>
      <c r="G18" s="196"/>
      <c r="H18" s="196"/>
      <c r="I18" s="234"/>
      <c r="J18" s="235"/>
      <c r="K18" s="191"/>
      <c r="L18" s="191"/>
      <c r="M18" s="191"/>
      <c r="N18" s="191"/>
      <c r="O18" s="191"/>
      <c r="P18" s="191"/>
      <c r="Q18" s="191"/>
      <c r="R18" s="191"/>
      <c r="S18" s="191"/>
      <c r="T18" s="229"/>
      <c r="U18" s="230"/>
      <c r="V18" s="230"/>
      <c r="W18" s="230"/>
      <c r="X18" s="230"/>
      <c r="Y18" s="231"/>
      <c r="Z18" s="268"/>
      <c r="AA18" s="269"/>
      <c r="AB18" s="269"/>
      <c r="AC18" s="269"/>
      <c r="AD18" s="269"/>
      <c r="AE18" s="269"/>
      <c r="AF18" s="269"/>
      <c r="AG18" s="270"/>
      <c r="AH18" s="268"/>
      <c r="AI18" s="269"/>
      <c r="AJ18" s="269"/>
      <c r="AK18" s="269"/>
      <c r="AL18" s="269"/>
      <c r="AM18" s="269"/>
      <c r="AN18" s="269"/>
      <c r="AO18" s="275"/>
      <c r="AP18" s="232"/>
      <c r="AQ18" s="230"/>
      <c r="AR18" s="230"/>
      <c r="AS18" s="230"/>
      <c r="AT18" s="230"/>
      <c r="AU18" s="230"/>
      <c r="AV18" s="233"/>
      <c r="AY18" s="195"/>
      <c r="AZ18" s="195"/>
      <c r="BA18" s="195"/>
      <c r="BB18" s="202"/>
      <c r="BC18" s="205"/>
      <c r="BD18" s="195"/>
      <c r="BE18" s="195"/>
      <c r="BF18" s="195"/>
      <c r="BG18" s="195"/>
      <c r="BH18" s="195"/>
      <c r="BJ18" s="168"/>
      <c r="BK18" s="195"/>
      <c r="BL18" s="195"/>
      <c r="BM18" s="195"/>
      <c r="BN18" s="195"/>
      <c r="BO18" s="195"/>
      <c r="BP18" s="195"/>
      <c r="BQ18" s="195"/>
    </row>
    <row r="19" spans="1:69" ht="13.5" customHeight="1">
      <c r="A19" s="179">
        <v>3</v>
      </c>
      <c r="B19" s="188"/>
      <c r="C19" s="196"/>
      <c r="D19" s="196"/>
      <c r="E19" s="196"/>
      <c r="F19" s="196"/>
      <c r="G19" s="196"/>
      <c r="H19" s="196"/>
      <c r="I19" s="234"/>
      <c r="J19" s="235"/>
      <c r="K19" s="191"/>
      <c r="L19" s="191"/>
      <c r="M19" s="191"/>
      <c r="N19" s="191"/>
      <c r="O19" s="191"/>
      <c r="P19" s="191"/>
      <c r="Q19" s="191"/>
      <c r="R19" s="191"/>
      <c r="S19" s="191"/>
      <c r="T19" s="229"/>
      <c r="U19" s="230"/>
      <c r="V19" s="230"/>
      <c r="W19" s="230"/>
      <c r="X19" s="230"/>
      <c r="Y19" s="231"/>
      <c r="Z19" s="271"/>
      <c r="AA19" s="272"/>
      <c r="AB19" s="272"/>
      <c r="AC19" s="272"/>
      <c r="AD19" s="272"/>
      <c r="AE19" s="272"/>
      <c r="AF19" s="272"/>
      <c r="AG19" s="273"/>
      <c r="AH19" s="271"/>
      <c r="AI19" s="272"/>
      <c r="AJ19" s="272"/>
      <c r="AK19" s="272"/>
      <c r="AL19" s="272"/>
      <c r="AM19" s="272"/>
      <c r="AN19" s="272"/>
      <c r="AO19" s="276"/>
      <c r="AP19" s="255"/>
      <c r="AQ19" s="242"/>
      <c r="AR19" s="242"/>
      <c r="AS19" s="242"/>
      <c r="AT19" s="242"/>
      <c r="AU19" s="242"/>
      <c r="AV19" s="256"/>
      <c r="AY19" s="195"/>
      <c r="AZ19" s="195"/>
      <c r="BA19" s="195"/>
      <c r="BB19" s="202"/>
      <c r="BC19" s="205"/>
      <c r="BD19" s="195"/>
      <c r="BE19" s="195"/>
      <c r="BF19" s="195"/>
      <c r="BG19" s="195"/>
      <c r="BH19" s="195"/>
      <c r="BJ19" s="168"/>
      <c r="BK19" s="195"/>
      <c r="BL19" s="195"/>
      <c r="BM19" s="195"/>
      <c r="BN19" s="195"/>
      <c r="BO19" s="195"/>
      <c r="BP19" s="195"/>
      <c r="BQ19" s="195"/>
    </row>
    <row r="20" spans="1:69" ht="13.5" customHeight="1">
      <c r="A20" s="185">
        <v>2</v>
      </c>
      <c r="B20" s="186" t="s">
        <v>265</v>
      </c>
      <c r="C20" s="187"/>
      <c r="D20" s="187"/>
      <c r="E20" s="187"/>
      <c r="F20" s="187"/>
      <c r="G20" s="187"/>
      <c r="H20" s="187"/>
      <c r="I20" s="187"/>
      <c r="J20" s="187"/>
      <c r="K20" s="187"/>
      <c r="L20" s="187"/>
      <c r="M20" s="187"/>
      <c r="N20" s="187"/>
      <c r="O20" s="187"/>
      <c r="P20" s="187"/>
      <c r="Q20" s="187"/>
      <c r="R20" s="187"/>
      <c r="S20" s="194"/>
      <c r="T20" s="175"/>
      <c r="U20" s="175"/>
      <c r="V20" s="175"/>
      <c r="W20" s="175"/>
      <c r="X20" s="175"/>
      <c r="Y20" s="175"/>
      <c r="Z20" s="175"/>
      <c r="AA20" s="175"/>
      <c r="AB20" s="175"/>
      <c r="AC20" s="175"/>
      <c r="AD20" s="175"/>
      <c r="AE20" s="175"/>
      <c r="AF20" s="175"/>
      <c r="AG20" s="175"/>
      <c r="AH20" s="211"/>
      <c r="AI20" s="211"/>
      <c r="AJ20" s="211"/>
      <c r="AK20" s="211"/>
      <c r="AL20" s="211"/>
      <c r="AM20" s="211"/>
      <c r="AN20" s="211"/>
      <c r="AO20" s="211"/>
      <c r="AP20" s="175"/>
      <c r="AQ20" s="175"/>
      <c r="AR20" s="175"/>
      <c r="AS20" s="175"/>
      <c r="AT20" s="176"/>
      <c r="AU20" s="176"/>
      <c r="AV20" s="199"/>
      <c r="AY20" s="177"/>
      <c r="AZ20" s="177"/>
      <c r="BA20" s="177"/>
      <c r="BB20" s="201"/>
      <c r="BC20" s="195"/>
      <c r="BD20" s="205"/>
      <c r="BE20" s="195"/>
      <c r="BF20" s="205"/>
      <c r="BG20" s="205"/>
      <c r="BH20" s="205"/>
      <c r="BJ20" s="168"/>
      <c r="BK20" s="177"/>
      <c r="BL20" s="178"/>
      <c r="BM20" s="177"/>
      <c r="BN20" s="177"/>
      <c r="BO20" s="177"/>
      <c r="BP20" s="177"/>
      <c r="BQ20" s="177"/>
    </row>
    <row r="21" spans="1:69" s="162" customFormat="1" ht="20.25" customHeight="1">
      <c r="A21" s="179">
        <v>1</v>
      </c>
      <c r="B21" s="188"/>
      <c r="C21" s="189"/>
      <c r="D21" s="189"/>
      <c r="E21" s="189"/>
      <c r="F21" s="189"/>
      <c r="G21" s="189"/>
      <c r="H21" s="190"/>
      <c r="I21" s="234"/>
      <c r="J21" s="235"/>
      <c r="K21" s="191"/>
      <c r="L21" s="191"/>
      <c r="M21" s="191"/>
      <c r="N21" s="191"/>
      <c r="O21" s="210"/>
      <c r="P21" s="191"/>
      <c r="Q21" s="191"/>
      <c r="R21" s="191"/>
      <c r="S21" s="209"/>
      <c r="T21" s="229"/>
      <c r="U21" s="230"/>
      <c r="V21" s="230"/>
      <c r="W21" s="230"/>
      <c r="X21" s="230"/>
      <c r="Y21" s="231"/>
      <c r="Z21" s="241"/>
      <c r="AA21" s="257"/>
      <c r="AB21" s="257"/>
      <c r="AC21" s="257"/>
      <c r="AD21" s="257"/>
      <c r="AE21" s="257"/>
      <c r="AF21" s="257"/>
      <c r="AG21" s="258"/>
      <c r="AH21" s="261"/>
      <c r="AI21" s="262"/>
      <c r="AJ21" s="262"/>
      <c r="AK21" s="262"/>
      <c r="AL21" s="262"/>
      <c r="AM21" s="262"/>
      <c r="AN21" s="262"/>
      <c r="AO21" s="262"/>
      <c r="AP21" s="232"/>
      <c r="AQ21" s="230"/>
      <c r="AR21" s="230"/>
      <c r="AS21" s="230"/>
      <c r="AT21" s="230"/>
      <c r="AU21" s="230"/>
      <c r="AV21" s="233"/>
      <c r="AY21" s="180"/>
      <c r="AZ21" s="180"/>
      <c r="BA21" s="180"/>
      <c r="BB21" s="203"/>
      <c r="BC21" s="206"/>
      <c r="BD21" s="205"/>
      <c r="BE21" s="195"/>
      <c r="BF21" s="180"/>
      <c r="BG21" s="180"/>
      <c r="BH21" s="180"/>
      <c r="BI21" s="167"/>
      <c r="BK21" s="180"/>
      <c r="BL21" s="180"/>
      <c r="BM21" s="180"/>
      <c r="BN21" s="180"/>
      <c r="BO21" s="180"/>
      <c r="BP21" s="180"/>
      <c r="BQ21" s="180"/>
    </row>
    <row r="22" spans="1:69" s="162" customFormat="1" ht="13.5">
      <c r="A22" s="179">
        <v>2</v>
      </c>
      <c r="B22" s="188"/>
      <c r="C22" s="189"/>
      <c r="D22" s="189"/>
      <c r="E22" s="189"/>
      <c r="F22" s="189"/>
      <c r="G22" s="189"/>
      <c r="H22" s="190"/>
      <c r="I22" s="234"/>
      <c r="J22" s="235"/>
      <c r="K22" s="191"/>
      <c r="L22"/>
      <c r="M22" s="191"/>
      <c r="N22" s="191"/>
      <c r="O22" s="210"/>
      <c r="P22" s="191"/>
      <c r="Q22" s="191"/>
      <c r="R22" s="191"/>
      <c r="S22" s="191"/>
      <c r="T22" s="229"/>
      <c r="U22" s="230"/>
      <c r="V22" s="230"/>
      <c r="W22" s="230"/>
      <c r="X22" s="230"/>
      <c r="Y22" s="231"/>
      <c r="Z22" s="250"/>
      <c r="AA22" s="251"/>
      <c r="AB22" s="251"/>
      <c r="AC22" s="251"/>
      <c r="AD22" s="251"/>
      <c r="AE22" s="251"/>
      <c r="AF22" s="251"/>
      <c r="AG22" s="259"/>
      <c r="AH22" s="263"/>
      <c r="AI22" s="264"/>
      <c r="AJ22" s="264"/>
      <c r="AK22" s="264"/>
      <c r="AL22" s="264"/>
      <c r="AM22" s="264"/>
      <c r="AN22" s="264"/>
      <c r="AO22" s="264"/>
      <c r="AP22" s="232"/>
      <c r="AQ22" s="230"/>
      <c r="AR22" s="230"/>
      <c r="AS22" s="230"/>
      <c r="AT22" s="230"/>
      <c r="AU22" s="230"/>
      <c r="AV22" s="233"/>
      <c r="AY22" s="180"/>
      <c r="AZ22" s="180"/>
      <c r="BA22" s="180"/>
      <c r="BB22" s="203"/>
      <c r="BC22" s="206"/>
      <c r="BD22" s="180"/>
      <c r="BE22" s="180"/>
      <c r="BF22" s="180"/>
      <c r="BG22" s="180"/>
      <c r="BH22" s="180"/>
      <c r="BI22" s="167"/>
      <c r="BK22" s="180"/>
      <c r="BL22" s="180"/>
      <c r="BM22" s="180"/>
      <c r="BN22" s="180"/>
      <c r="BO22" s="180"/>
      <c r="BP22" s="180"/>
      <c r="BQ22" s="180"/>
    </row>
    <row r="23" spans="1:69" s="162" customFormat="1" ht="13.5">
      <c r="A23" s="179">
        <v>3</v>
      </c>
      <c r="B23" s="188"/>
      <c r="C23" s="189"/>
      <c r="D23" s="189"/>
      <c r="E23" s="189"/>
      <c r="F23" s="189"/>
      <c r="G23" s="189"/>
      <c r="H23" s="190"/>
      <c r="I23" s="234"/>
      <c r="J23" s="237"/>
      <c r="K23" s="191"/>
      <c r="L23" s="191"/>
      <c r="M23" s="191"/>
      <c r="N23" s="191"/>
      <c r="O23" s="191"/>
      <c r="P23" s="191"/>
      <c r="Q23" s="191"/>
      <c r="R23" s="191"/>
      <c r="S23" s="191"/>
      <c r="T23" s="229"/>
      <c r="U23" s="238"/>
      <c r="V23" s="238"/>
      <c r="W23" s="238"/>
      <c r="X23" s="238"/>
      <c r="Y23" s="239"/>
      <c r="Z23" s="250"/>
      <c r="AA23" s="251"/>
      <c r="AB23" s="251"/>
      <c r="AC23" s="251"/>
      <c r="AD23" s="251"/>
      <c r="AE23" s="251"/>
      <c r="AF23" s="251"/>
      <c r="AG23" s="259"/>
      <c r="AH23" s="263"/>
      <c r="AI23" s="264"/>
      <c r="AJ23" s="264"/>
      <c r="AK23" s="264"/>
      <c r="AL23" s="264"/>
      <c r="AM23" s="264"/>
      <c r="AN23" s="264"/>
      <c r="AO23" s="264"/>
      <c r="AP23" s="232"/>
      <c r="AQ23" s="230"/>
      <c r="AR23" s="230"/>
      <c r="AS23" s="230"/>
      <c r="AT23" s="230"/>
      <c r="AU23" s="230"/>
      <c r="AV23" s="233"/>
      <c r="AY23" s="180"/>
      <c r="AZ23" s="180"/>
      <c r="BA23" s="180"/>
      <c r="BB23" s="203"/>
      <c r="BC23" s="206"/>
      <c r="BD23" s="180"/>
      <c r="BE23" s="180"/>
      <c r="BF23" s="180"/>
      <c r="BG23" s="180"/>
      <c r="BH23" s="180"/>
      <c r="BI23" s="167"/>
      <c r="BK23" s="180"/>
      <c r="BL23" s="180"/>
      <c r="BM23" s="180"/>
      <c r="BN23" s="180"/>
      <c r="BO23" s="180"/>
      <c r="BP23" s="180"/>
      <c r="BQ23" s="180"/>
    </row>
    <row r="24" spans="1:69" s="162" customFormat="1" ht="13.5">
      <c r="A24" s="179">
        <v>4</v>
      </c>
      <c r="B24" s="188"/>
      <c r="C24" s="189"/>
      <c r="D24" s="189"/>
      <c r="E24" s="189"/>
      <c r="F24" s="189"/>
      <c r="G24" s="189"/>
      <c r="H24" s="190"/>
      <c r="I24" s="234"/>
      <c r="J24" s="237"/>
      <c r="K24" s="191"/>
      <c r="L24" s="191"/>
      <c r="M24" s="191"/>
      <c r="N24" s="191"/>
      <c r="O24" s="191"/>
      <c r="P24" s="191"/>
      <c r="Q24" s="191"/>
      <c r="R24" s="191"/>
      <c r="S24" s="191"/>
      <c r="T24" s="229"/>
      <c r="U24" s="238"/>
      <c r="V24" s="238"/>
      <c r="W24" s="238"/>
      <c r="X24" s="238"/>
      <c r="Y24" s="239"/>
      <c r="Z24" s="252"/>
      <c r="AA24" s="253"/>
      <c r="AB24" s="253"/>
      <c r="AC24" s="253"/>
      <c r="AD24" s="253"/>
      <c r="AE24" s="253"/>
      <c r="AF24" s="253"/>
      <c r="AG24" s="260"/>
      <c r="AH24" s="263"/>
      <c r="AI24" s="264"/>
      <c r="AJ24" s="264"/>
      <c r="AK24" s="264"/>
      <c r="AL24" s="264"/>
      <c r="AM24" s="264"/>
      <c r="AN24" s="264"/>
      <c r="AO24" s="264"/>
      <c r="AP24" s="232"/>
      <c r="AQ24" s="230"/>
      <c r="AR24" s="230"/>
      <c r="AS24" s="230"/>
      <c r="AT24" s="230"/>
      <c r="AU24" s="230"/>
      <c r="AV24" s="233"/>
      <c r="AY24" s="180"/>
      <c r="AZ24" s="180"/>
      <c r="BA24" s="180"/>
      <c r="BB24" s="203"/>
      <c r="BC24" s="206"/>
      <c r="BD24" s="180"/>
      <c r="BE24" s="180"/>
      <c r="BF24" s="180"/>
      <c r="BG24" s="180"/>
      <c r="BH24" s="180"/>
      <c r="BI24" s="167"/>
      <c r="BK24" s="180"/>
      <c r="BL24" s="180"/>
      <c r="BM24" s="180"/>
      <c r="BN24" s="180"/>
      <c r="BO24" s="180"/>
      <c r="BP24" s="180"/>
      <c r="BQ24" s="180"/>
    </row>
    <row r="25" spans="1:69" ht="13.5" customHeight="1">
      <c r="A25" s="185">
        <v>3</v>
      </c>
      <c r="B25" s="186" t="s">
        <v>266</v>
      </c>
      <c r="C25" s="187"/>
      <c r="D25" s="187"/>
      <c r="E25" s="187"/>
      <c r="F25" s="187"/>
      <c r="G25" s="187"/>
      <c r="H25" s="187"/>
      <c r="I25" s="187"/>
      <c r="J25" s="187"/>
      <c r="K25" s="187"/>
      <c r="L25" s="187"/>
      <c r="M25" s="187"/>
      <c r="N25" s="187"/>
      <c r="O25" s="187"/>
      <c r="P25" s="187"/>
      <c r="Q25" s="187"/>
      <c r="R25" s="187"/>
      <c r="S25" s="194"/>
      <c r="T25" s="175"/>
      <c r="U25" s="175"/>
      <c r="V25" s="175"/>
      <c r="W25" s="175"/>
      <c r="X25" s="175"/>
      <c r="Y25" s="175"/>
      <c r="Z25" s="175"/>
      <c r="AA25" s="175"/>
      <c r="AB25" s="175"/>
      <c r="AC25" s="175"/>
      <c r="AD25" s="175"/>
      <c r="AE25" s="175"/>
      <c r="AF25" s="175"/>
      <c r="AG25" s="175"/>
      <c r="AH25" s="240"/>
      <c r="AI25" s="240"/>
      <c r="AJ25" s="240"/>
      <c r="AK25" s="240"/>
      <c r="AL25" s="240"/>
      <c r="AM25" s="240"/>
      <c r="AN25" s="240"/>
      <c r="AO25" s="240"/>
      <c r="AP25" s="175"/>
      <c r="AQ25" s="175"/>
      <c r="AR25" s="175"/>
      <c r="AS25" s="175"/>
      <c r="AT25" s="175"/>
      <c r="AU25" s="175"/>
      <c r="AV25" s="200"/>
      <c r="AY25" s="177"/>
      <c r="AZ25" s="177"/>
      <c r="BA25" s="177"/>
      <c r="BB25" s="201"/>
      <c r="BC25" s="205"/>
      <c r="BD25" s="205"/>
      <c r="BE25" s="205"/>
      <c r="BF25" s="205"/>
      <c r="BG25" s="205"/>
      <c r="BH25" s="205"/>
      <c r="BJ25" s="168"/>
      <c r="BK25" s="177"/>
      <c r="BL25" s="178"/>
      <c r="BM25" s="177"/>
      <c r="BN25" s="177"/>
      <c r="BO25" s="177"/>
      <c r="BP25" s="177"/>
      <c r="BQ25" s="177"/>
    </row>
    <row r="26" spans="1:69" ht="13.5">
      <c r="A26" s="179">
        <v>1</v>
      </c>
      <c r="B26" s="188"/>
      <c r="C26" s="189"/>
      <c r="D26" s="189"/>
      <c r="E26" s="189"/>
      <c r="F26" s="189"/>
      <c r="G26" s="189"/>
      <c r="H26" s="190"/>
      <c r="I26" s="234"/>
      <c r="J26" s="237"/>
      <c r="K26" s="191"/>
      <c r="L26" s="191"/>
      <c r="M26" s="191"/>
      <c r="N26" s="191"/>
      <c r="O26" s="191"/>
      <c r="P26" s="191"/>
      <c r="Q26" s="191"/>
      <c r="R26" s="191"/>
      <c r="S26" s="191"/>
      <c r="T26" s="229"/>
      <c r="U26" s="238"/>
      <c r="V26" s="238"/>
      <c r="W26" s="238"/>
      <c r="X26" s="238"/>
      <c r="Y26" s="239"/>
      <c r="Z26" s="241"/>
      <c r="AA26" s="242"/>
      <c r="AB26" s="242"/>
      <c r="AC26" s="242"/>
      <c r="AD26" s="242"/>
      <c r="AE26" s="242"/>
      <c r="AF26" s="242"/>
      <c r="AG26" s="243"/>
      <c r="AH26" s="250"/>
      <c r="AI26" s="251"/>
      <c r="AJ26" s="251"/>
      <c r="AK26" s="251"/>
      <c r="AL26" s="251"/>
      <c r="AM26" s="251"/>
      <c r="AN26" s="251"/>
      <c r="AO26" s="251"/>
      <c r="AP26" s="232"/>
      <c r="AQ26" s="230"/>
      <c r="AR26" s="230"/>
      <c r="AS26" s="230"/>
      <c r="AT26" s="230"/>
      <c r="AU26" s="230"/>
      <c r="AV26" s="233"/>
      <c r="AY26" s="180"/>
      <c r="AZ26" s="180"/>
      <c r="BA26" s="181"/>
      <c r="BB26" s="203"/>
      <c r="BC26" s="180"/>
      <c r="BD26" s="180"/>
      <c r="BE26" s="181"/>
      <c r="BF26" s="181"/>
      <c r="BG26" s="181"/>
      <c r="BH26" s="181"/>
      <c r="BK26" s="181"/>
      <c r="BL26" s="181"/>
      <c r="BM26" s="181"/>
      <c r="BN26" s="181"/>
      <c r="BO26" s="181"/>
      <c r="BP26" s="181"/>
      <c r="BQ26" s="181"/>
    </row>
    <row r="27" spans="1:69" ht="13.5">
      <c r="A27" s="179">
        <v>2</v>
      </c>
      <c r="B27" s="188"/>
      <c r="C27" s="189"/>
      <c r="D27" s="189"/>
      <c r="E27" s="189"/>
      <c r="F27" s="189"/>
      <c r="G27" s="189"/>
      <c r="H27" s="190"/>
      <c r="I27" s="234"/>
      <c r="J27" s="237"/>
      <c r="K27" s="191"/>
      <c r="L27" s="191"/>
      <c r="M27" s="191"/>
      <c r="N27" s="191"/>
      <c r="O27" s="191"/>
      <c r="P27" s="191"/>
      <c r="Q27" s="191"/>
      <c r="R27" s="191"/>
      <c r="S27" s="191"/>
      <c r="T27" s="229"/>
      <c r="U27" s="230"/>
      <c r="V27" s="230"/>
      <c r="W27" s="230"/>
      <c r="X27" s="230"/>
      <c r="Y27" s="231"/>
      <c r="Z27" s="244"/>
      <c r="AA27" s="245"/>
      <c r="AB27" s="245"/>
      <c r="AC27" s="245"/>
      <c r="AD27" s="245"/>
      <c r="AE27" s="245"/>
      <c r="AF27" s="245"/>
      <c r="AG27" s="246"/>
      <c r="AH27" s="250"/>
      <c r="AI27" s="251"/>
      <c r="AJ27" s="251"/>
      <c r="AK27" s="251"/>
      <c r="AL27" s="251"/>
      <c r="AM27" s="251"/>
      <c r="AN27" s="251"/>
      <c r="AO27" s="251"/>
      <c r="AP27" s="232"/>
      <c r="AQ27" s="230"/>
      <c r="AR27" s="230"/>
      <c r="AS27" s="230"/>
      <c r="AT27" s="230"/>
      <c r="AU27" s="230"/>
      <c r="AV27" s="233"/>
      <c r="AY27" s="180"/>
      <c r="AZ27" s="180"/>
      <c r="BA27" s="181"/>
      <c r="BB27" s="203"/>
      <c r="BC27" s="180"/>
      <c r="BD27" s="180"/>
      <c r="BE27" s="181"/>
      <c r="BF27" s="181"/>
      <c r="BG27" s="181"/>
      <c r="BH27" s="181"/>
      <c r="BK27" s="181"/>
      <c r="BL27" s="181"/>
      <c r="BM27" s="181"/>
      <c r="BN27" s="181"/>
      <c r="BO27" s="181"/>
      <c r="BP27" s="181"/>
      <c r="BQ27" s="181"/>
    </row>
    <row r="28" spans="1:69" ht="13.5">
      <c r="A28" s="179">
        <v>3</v>
      </c>
      <c r="B28" s="188"/>
      <c r="C28" s="189"/>
      <c r="D28" s="189"/>
      <c r="E28" s="189"/>
      <c r="F28" s="189"/>
      <c r="G28" s="189"/>
      <c r="H28" s="190"/>
      <c r="I28" s="234"/>
      <c r="J28" s="235"/>
      <c r="K28" s="191"/>
      <c r="L28" s="191"/>
      <c r="M28" s="191"/>
      <c r="N28" s="191"/>
      <c r="O28" s="191"/>
      <c r="P28" s="191"/>
      <c r="Q28" s="191"/>
      <c r="R28" s="191"/>
      <c r="S28" s="191"/>
      <c r="T28" s="229"/>
      <c r="U28" s="230"/>
      <c r="V28" s="230"/>
      <c r="W28" s="230"/>
      <c r="X28" s="230"/>
      <c r="Y28" s="231"/>
      <c r="Z28" s="244"/>
      <c r="AA28" s="245"/>
      <c r="AB28" s="245"/>
      <c r="AC28" s="245"/>
      <c r="AD28" s="245"/>
      <c r="AE28" s="245"/>
      <c r="AF28" s="245"/>
      <c r="AG28" s="246"/>
      <c r="AH28" s="250"/>
      <c r="AI28" s="251"/>
      <c r="AJ28" s="251"/>
      <c r="AK28" s="251"/>
      <c r="AL28" s="251"/>
      <c r="AM28" s="251"/>
      <c r="AN28" s="251"/>
      <c r="AO28" s="251"/>
      <c r="AP28" s="232"/>
      <c r="AQ28" s="230"/>
      <c r="AR28" s="230"/>
      <c r="AS28" s="230"/>
      <c r="AT28" s="230"/>
      <c r="AU28" s="230"/>
      <c r="AV28" s="233"/>
      <c r="AY28" s="180"/>
      <c r="AZ28" s="181"/>
      <c r="BA28" s="180"/>
      <c r="BB28" s="203"/>
      <c r="BC28" s="180"/>
      <c r="BD28" s="181"/>
      <c r="BE28" s="180"/>
      <c r="BF28" s="181"/>
      <c r="BG28" s="181"/>
      <c r="BH28" s="181"/>
      <c r="BK28" s="181"/>
      <c r="BL28" s="181"/>
      <c r="BM28" s="181"/>
      <c r="BN28" s="181"/>
      <c r="BO28" s="181"/>
      <c r="BP28" s="181"/>
      <c r="BQ28" s="181"/>
    </row>
    <row r="29" spans="1:69" ht="13.5">
      <c r="A29" s="179">
        <v>4</v>
      </c>
      <c r="B29" s="188"/>
      <c r="C29" s="189"/>
      <c r="D29" s="189"/>
      <c r="E29" s="189"/>
      <c r="F29" s="189"/>
      <c r="G29" s="189"/>
      <c r="H29" s="190"/>
      <c r="I29" s="234"/>
      <c r="J29" s="235"/>
      <c r="K29" s="191"/>
      <c r="L29" s="191"/>
      <c r="M29" s="191"/>
      <c r="N29" s="191"/>
      <c r="O29" s="191"/>
      <c r="P29" s="191"/>
      <c r="Q29" s="191"/>
      <c r="R29" s="191"/>
      <c r="S29" s="191"/>
      <c r="T29" s="229"/>
      <c r="U29" s="230"/>
      <c r="V29" s="230"/>
      <c r="W29" s="230"/>
      <c r="X29" s="230"/>
      <c r="Y29" s="231"/>
      <c r="Z29" s="244"/>
      <c r="AA29" s="245"/>
      <c r="AB29" s="245"/>
      <c r="AC29" s="245"/>
      <c r="AD29" s="245"/>
      <c r="AE29" s="245"/>
      <c r="AF29" s="245"/>
      <c r="AG29" s="246"/>
      <c r="AH29" s="250"/>
      <c r="AI29" s="251"/>
      <c r="AJ29" s="251"/>
      <c r="AK29" s="251"/>
      <c r="AL29" s="251"/>
      <c r="AM29" s="251"/>
      <c r="AN29" s="251"/>
      <c r="AO29" s="251"/>
      <c r="AP29" s="232"/>
      <c r="AQ29" s="230"/>
      <c r="AR29" s="230"/>
      <c r="AS29" s="230"/>
      <c r="AT29" s="230"/>
      <c r="AU29" s="230"/>
      <c r="AV29" s="233"/>
      <c r="AY29" s="180"/>
      <c r="AZ29" s="181"/>
      <c r="BA29" s="180"/>
      <c r="BB29" s="203"/>
      <c r="BC29" s="180"/>
      <c r="BD29" s="181"/>
      <c r="BE29" s="180"/>
      <c r="BF29" s="181"/>
      <c r="BG29" s="181"/>
      <c r="BH29" s="181"/>
      <c r="BK29" s="181"/>
      <c r="BL29" s="181"/>
      <c r="BM29" s="181"/>
      <c r="BN29" s="181"/>
      <c r="BO29" s="181"/>
      <c r="BP29" s="181"/>
      <c r="BQ29" s="181"/>
    </row>
    <row r="30" spans="1:69" ht="13.5">
      <c r="A30" s="179">
        <v>5</v>
      </c>
      <c r="B30" s="188"/>
      <c r="C30" s="189"/>
      <c r="D30" s="189"/>
      <c r="E30" s="189"/>
      <c r="F30" s="189"/>
      <c r="G30" s="189"/>
      <c r="H30" s="190"/>
      <c r="I30" s="234"/>
      <c r="J30" s="235"/>
      <c r="K30" s="191"/>
      <c r="L30" s="191"/>
      <c r="M30" s="191"/>
      <c r="N30" s="191"/>
      <c r="O30" s="191"/>
      <c r="P30" s="191"/>
      <c r="Q30" s="191"/>
      <c r="R30" s="191"/>
      <c r="S30" s="191"/>
      <c r="T30" s="229"/>
      <c r="U30" s="230"/>
      <c r="V30" s="230"/>
      <c r="W30" s="230"/>
      <c r="X30" s="230"/>
      <c r="Y30" s="231"/>
      <c r="Z30" s="244"/>
      <c r="AA30" s="245"/>
      <c r="AB30" s="245"/>
      <c r="AC30" s="245"/>
      <c r="AD30" s="245"/>
      <c r="AE30" s="245"/>
      <c r="AF30" s="245"/>
      <c r="AG30" s="246"/>
      <c r="AH30" s="250"/>
      <c r="AI30" s="251"/>
      <c r="AJ30" s="251"/>
      <c r="AK30" s="251"/>
      <c r="AL30" s="251"/>
      <c r="AM30" s="251"/>
      <c r="AN30" s="251"/>
      <c r="AO30" s="251"/>
      <c r="AP30" s="232"/>
      <c r="AQ30" s="230"/>
      <c r="AR30" s="230"/>
      <c r="AS30" s="230"/>
      <c r="AT30" s="230"/>
      <c r="AU30" s="230"/>
      <c r="AV30" s="233"/>
      <c r="AY30" s="180"/>
      <c r="AZ30" s="180"/>
      <c r="BA30" s="180"/>
      <c r="BB30" s="203"/>
      <c r="BC30" s="180"/>
      <c r="BD30" s="180"/>
      <c r="BE30" s="180"/>
      <c r="BF30" s="180"/>
      <c r="BG30" s="180"/>
      <c r="BH30" s="180"/>
      <c r="BK30" s="181"/>
      <c r="BL30" s="181"/>
      <c r="BM30" s="181"/>
      <c r="BN30" s="181"/>
      <c r="BO30" s="181"/>
      <c r="BP30" s="181"/>
      <c r="BQ30" s="181"/>
    </row>
    <row r="31" spans="1:69" ht="13.5">
      <c r="A31" s="179">
        <v>6</v>
      </c>
      <c r="B31" s="188"/>
      <c r="C31" s="189"/>
      <c r="D31" s="189"/>
      <c r="E31" s="189"/>
      <c r="F31" s="189"/>
      <c r="G31" s="189"/>
      <c r="H31" s="190"/>
      <c r="I31" s="234"/>
      <c r="J31" s="254"/>
      <c r="K31" s="191"/>
      <c r="L31" s="191"/>
      <c r="M31" s="191"/>
      <c r="N31" s="212"/>
      <c r="O31" s="191"/>
      <c r="P31" s="191"/>
      <c r="Q31" s="212"/>
      <c r="R31" s="212"/>
      <c r="S31" s="191"/>
      <c r="T31" s="229"/>
      <c r="U31" s="230"/>
      <c r="V31" s="230"/>
      <c r="W31" s="230"/>
      <c r="X31" s="230"/>
      <c r="Y31" s="231"/>
      <c r="Z31" s="244"/>
      <c r="AA31" s="245"/>
      <c r="AB31" s="245"/>
      <c r="AC31" s="245"/>
      <c r="AD31" s="245"/>
      <c r="AE31" s="245"/>
      <c r="AF31" s="245"/>
      <c r="AG31" s="246"/>
      <c r="AH31" s="250"/>
      <c r="AI31" s="251"/>
      <c r="AJ31" s="251"/>
      <c r="AK31" s="251"/>
      <c r="AL31" s="251"/>
      <c r="AM31" s="251"/>
      <c r="AN31" s="251"/>
      <c r="AO31" s="251"/>
      <c r="AP31" s="232"/>
      <c r="AQ31" s="230"/>
      <c r="AR31" s="230"/>
      <c r="AS31" s="230"/>
      <c r="AT31" s="230"/>
      <c r="AU31" s="230"/>
      <c r="AV31" s="233"/>
      <c r="AY31" s="180"/>
      <c r="AZ31" s="180"/>
      <c r="BA31" s="180"/>
      <c r="BB31" s="203"/>
      <c r="BC31" s="180"/>
      <c r="BD31" s="180"/>
      <c r="BE31" s="180"/>
      <c r="BF31" s="180"/>
      <c r="BG31" s="180"/>
      <c r="BH31" s="180"/>
      <c r="BK31" s="181"/>
      <c r="BL31" s="181"/>
      <c r="BM31" s="181"/>
      <c r="BN31" s="181"/>
      <c r="BO31" s="181"/>
      <c r="BP31" s="181"/>
      <c r="BQ31" s="181"/>
    </row>
    <row r="32" spans="1:69" ht="13.5">
      <c r="A32" s="179">
        <v>7</v>
      </c>
      <c r="B32" s="188"/>
      <c r="C32" s="189"/>
      <c r="D32" s="189"/>
      <c r="E32" s="189"/>
      <c r="F32" s="189"/>
      <c r="G32" s="189"/>
      <c r="H32" s="190"/>
      <c r="I32" s="234"/>
      <c r="J32" s="235"/>
      <c r="K32" s="191"/>
      <c r="L32" s="191"/>
      <c r="M32" s="191"/>
      <c r="N32" s="191"/>
      <c r="O32" s="191"/>
      <c r="P32" s="191"/>
      <c r="Q32" s="191"/>
      <c r="R32" s="191"/>
      <c r="S32" s="191"/>
      <c r="T32" s="229"/>
      <c r="U32" s="230"/>
      <c r="V32" s="230"/>
      <c r="W32" s="230"/>
      <c r="X32" s="230"/>
      <c r="Y32" s="231"/>
      <c r="Z32" s="244"/>
      <c r="AA32" s="245"/>
      <c r="AB32" s="245"/>
      <c r="AC32" s="245"/>
      <c r="AD32" s="245"/>
      <c r="AE32" s="245"/>
      <c r="AF32" s="245"/>
      <c r="AG32" s="246"/>
      <c r="AH32" s="250"/>
      <c r="AI32" s="251"/>
      <c r="AJ32" s="251"/>
      <c r="AK32" s="251"/>
      <c r="AL32" s="251"/>
      <c r="AM32" s="251"/>
      <c r="AN32" s="251"/>
      <c r="AO32" s="251"/>
      <c r="AP32" s="232"/>
      <c r="AQ32" s="230"/>
      <c r="AR32" s="230"/>
      <c r="AS32" s="230"/>
      <c r="AT32" s="230"/>
      <c r="AU32" s="230"/>
      <c r="AV32" s="233"/>
      <c r="AY32" s="180"/>
      <c r="AZ32" s="180"/>
      <c r="BA32" s="180"/>
      <c r="BB32" s="203"/>
      <c r="BC32" s="180"/>
      <c r="BD32" s="180"/>
      <c r="BE32" s="180"/>
      <c r="BF32" s="180"/>
      <c r="BG32" s="180"/>
      <c r="BH32" s="180"/>
      <c r="BI32" s="198"/>
      <c r="BK32" s="181"/>
      <c r="BL32" s="181"/>
      <c r="BM32" s="181"/>
      <c r="BN32" s="181"/>
      <c r="BO32" s="181"/>
      <c r="BP32" s="181"/>
      <c r="BQ32" s="181"/>
    </row>
    <row r="33" spans="1:69" ht="13.5">
      <c r="A33" s="179">
        <v>8</v>
      </c>
      <c r="B33" s="188"/>
      <c r="C33" s="189"/>
      <c r="D33" s="189"/>
      <c r="E33" s="189"/>
      <c r="F33" s="189"/>
      <c r="G33" s="189"/>
      <c r="H33" s="190"/>
      <c r="I33" s="234"/>
      <c r="J33" s="235"/>
      <c r="K33" s="191"/>
      <c r="L33" s="191"/>
      <c r="M33" s="191"/>
      <c r="N33" s="191"/>
      <c r="O33" s="191"/>
      <c r="P33" s="191"/>
      <c r="Q33" s="191"/>
      <c r="R33" s="191"/>
      <c r="S33" s="213"/>
      <c r="T33" s="229"/>
      <c r="U33" s="230"/>
      <c r="V33" s="230"/>
      <c r="W33" s="230"/>
      <c r="X33" s="230"/>
      <c r="Y33" s="231"/>
      <c r="Z33" s="244"/>
      <c r="AA33" s="245"/>
      <c r="AB33" s="245"/>
      <c r="AC33" s="245"/>
      <c r="AD33" s="245"/>
      <c r="AE33" s="245"/>
      <c r="AF33" s="245"/>
      <c r="AG33" s="246"/>
      <c r="AH33" s="250"/>
      <c r="AI33" s="251"/>
      <c r="AJ33" s="251"/>
      <c r="AK33" s="251"/>
      <c r="AL33" s="251"/>
      <c r="AM33" s="251"/>
      <c r="AN33" s="251"/>
      <c r="AO33" s="251"/>
      <c r="AP33" s="232"/>
      <c r="AQ33" s="230"/>
      <c r="AR33" s="230"/>
      <c r="AS33" s="230"/>
      <c r="AT33" s="230"/>
      <c r="AU33" s="230"/>
      <c r="AV33" s="233"/>
      <c r="AY33" s="180"/>
      <c r="AZ33" s="180"/>
      <c r="BA33" s="180"/>
      <c r="BB33" s="203"/>
      <c r="BC33" s="180"/>
      <c r="BD33" s="180"/>
      <c r="BE33" s="180"/>
      <c r="BF33" s="180"/>
      <c r="BG33" s="180"/>
      <c r="BH33" s="180"/>
      <c r="BI33" s="198"/>
      <c r="BK33" s="181"/>
      <c r="BL33" s="181"/>
      <c r="BM33" s="181"/>
      <c r="BN33" s="181"/>
      <c r="BO33" s="181"/>
      <c r="BP33" s="181"/>
      <c r="BQ33" s="181"/>
    </row>
    <row r="34" spans="1:69" ht="13.5">
      <c r="A34" s="179">
        <v>10</v>
      </c>
      <c r="B34" s="188"/>
      <c r="C34" s="189"/>
      <c r="D34" s="189"/>
      <c r="E34" s="189"/>
      <c r="F34" s="189"/>
      <c r="G34" s="189"/>
      <c r="H34" s="190"/>
      <c r="I34" s="234"/>
      <c r="J34" s="237"/>
      <c r="K34" s="191"/>
      <c r="L34" s="191"/>
      <c r="M34" s="191"/>
      <c r="N34" s="191"/>
      <c r="O34" s="191"/>
      <c r="P34" s="191"/>
      <c r="Q34" s="191"/>
      <c r="R34" s="191"/>
      <c r="S34" s="191"/>
      <c r="T34" s="229"/>
      <c r="U34" s="238"/>
      <c r="V34" s="238"/>
      <c r="W34" s="238"/>
      <c r="X34" s="238"/>
      <c r="Y34" s="239"/>
      <c r="Z34" s="244"/>
      <c r="AA34" s="245"/>
      <c r="AB34" s="245"/>
      <c r="AC34" s="245"/>
      <c r="AD34" s="245"/>
      <c r="AE34" s="245"/>
      <c r="AF34" s="245"/>
      <c r="AG34" s="246"/>
      <c r="AH34" s="250"/>
      <c r="AI34" s="251"/>
      <c r="AJ34" s="251"/>
      <c r="AK34" s="251"/>
      <c r="AL34" s="251"/>
      <c r="AM34" s="251"/>
      <c r="AN34" s="251"/>
      <c r="AO34" s="251"/>
      <c r="AP34" s="232"/>
      <c r="AQ34" s="230"/>
      <c r="AR34" s="230"/>
      <c r="AS34" s="230"/>
      <c r="AT34" s="230"/>
      <c r="AU34" s="230"/>
      <c r="AV34" s="233"/>
      <c r="AY34" s="180"/>
      <c r="AZ34" s="181"/>
      <c r="BA34" s="180"/>
      <c r="BB34" s="203"/>
      <c r="BC34" s="180"/>
      <c r="BD34" s="181"/>
      <c r="BE34" s="180"/>
      <c r="BF34" s="180"/>
      <c r="BG34" s="180"/>
      <c r="BH34" s="180"/>
      <c r="BI34" s="198"/>
      <c r="BK34" s="181"/>
      <c r="BL34" s="181"/>
      <c r="BM34" s="181"/>
      <c r="BN34" s="181"/>
      <c r="BO34" s="181"/>
      <c r="BP34" s="181"/>
      <c r="BQ34" s="181"/>
    </row>
    <row r="35" spans="1:69" ht="16.5" customHeight="1">
      <c r="A35" s="179">
        <v>11</v>
      </c>
      <c r="B35" s="188"/>
      <c r="C35" s="189"/>
      <c r="D35" s="189"/>
      <c r="E35" s="189"/>
      <c r="F35" s="189"/>
      <c r="G35" s="189"/>
      <c r="H35" s="190"/>
      <c r="I35" s="234"/>
      <c r="J35" s="237"/>
      <c r="K35" s="191"/>
      <c r="L35" s="191"/>
      <c r="M35" s="191"/>
      <c r="N35" s="191"/>
      <c r="O35" s="191"/>
      <c r="P35" s="191"/>
      <c r="Q35" s="191"/>
      <c r="R35" s="191"/>
      <c r="S35" s="191"/>
      <c r="T35" s="229"/>
      <c r="U35" s="238"/>
      <c r="V35" s="238"/>
      <c r="W35" s="238"/>
      <c r="X35" s="238"/>
      <c r="Y35" s="239"/>
      <c r="Z35" s="244"/>
      <c r="AA35" s="245"/>
      <c r="AB35" s="245"/>
      <c r="AC35" s="245"/>
      <c r="AD35" s="245"/>
      <c r="AE35" s="245"/>
      <c r="AF35" s="245"/>
      <c r="AG35" s="246"/>
      <c r="AH35" s="250"/>
      <c r="AI35" s="251"/>
      <c r="AJ35" s="251"/>
      <c r="AK35" s="251"/>
      <c r="AL35" s="251"/>
      <c r="AM35" s="251"/>
      <c r="AN35" s="251"/>
      <c r="AO35" s="251"/>
      <c r="AP35" s="232"/>
      <c r="AQ35" s="230"/>
      <c r="AR35" s="230"/>
      <c r="AS35" s="230"/>
      <c r="AT35" s="230"/>
      <c r="AU35" s="230"/>
      <c r="AV35" s="233"/>
      <c r="AY35" s="180"/>
      <c r="AZ35" s="181"/>
      <c r="BA35" s="180"/>
      <c r="BB35" s="203"/>
      <c r="BC35" s="180"/>
      <c r="BD35" s="181"/>
      <c r="BE35" s="180"/>
      <c r="BF35" s="180"/>
      <c r="BG35" s="180"/>
      <c r="BH35" s="180"/>
      <c r="BI35" s="198"/>
      <c r="BK35" s="181"/>
      <c r="BL35" s="181"/>
      <c r="BM35" s="181"/>
      <c r="BN35" s="181"/>
      <c r="BO35" s="181"/>
      <c r="BP35" s="181"/>
      <c r="BQ35" s="181"/>
    </row>
    <row r="36" spans="1:69" ht="16.5" customHeight="1">
      <c r="A36" s="179">
        <v>12</v>
      </c>
      <c r="B36" s="188"/>
      <c r="C36" s="189"/>
      <c r="D36" s="189"/>
      <c r="E36" s="189"/>
      <c r="F36" s="189"/>
      <c r="G36" s="189"/>
      <c r="H36" s="190"/>
      <c r="I36" s="236"/>
      <c r="J36" s="237"/>
      <c r="K36" s="191"/>
      <c r="L36" s="191"/>
      <c r="M36" s="191"/>
      <c r="N36" s="191"/>
      <c r="O36" s="191"/>
      <c r="P36" s="191"/>
      <c r="Q36" s="191"/>
      <c r="R36" s="191"/>
      <c r="S36" s="214"/>
      <c r="T36" s="229"/>
      <c r="U36" s="238"/>
      <c r="V36" s="238"/>
      <c r="W36" s="238"/>
      <c r="X36" s="238"/>
      <c r="Y36" s="239"/>
      <c r="Z36" s="244"/>
      <c r="AA36" s="245"/>
      <c r="AB36" s="245"/>
      <c r="AC36" s="245"/>
      <c r="AD36" s="245"/>
      <c r="AE36" s="245"/>
      <c r="AF36" s="245"/>
      <c r="AG36" s="246"/>
      <c r="AH36" s="250"/>
      <c r="AI36" s="251"/>
      <c r="AJ36" s="251"/>
      <c r="AK36" s="251"/>
      <c r="AL36" s="251"/>
      <c r="AM36" s="251"/>
      <c r="AN36" s="251"/>
      <c r="AO36" s="251"/>
      <c r="AP36" s="232"/>
      <c r="AQ36" s="230"/>
      <c r="AR36" s="230"/>
      <c r="AS36" s="230"/>
      <c r="AT36" s="230"/>
      <c r="AU36" s="230"/>
      <c r="AV36" s="233"/>
      <c r="AY36" s="180"/>
      <c r="AZ36" s="181"/>
      <c r="BA36" s="180"/>
      <c r="BB36" s="203"/>
      <c r="BC36" s="180"/>
      <c r="BD36" s="181"/>
      <c r="BE36" s="180"/>
      <c r="BF36" s="180"/>
      <c r="BG36" s="180"/>
      <c r="BH36" s="180"/>
      <c r="BI36" s="198"/>
      <c r="BK36" s="181"/>
      <c r="BL36" s="181"/>
      <c r="BM36" s="181"/>
      <c r="BN36" s="181"/>
      <c r="BO36" s="181"/>
      <c r="BP36" s="181"/>
      <c r="BQ36" s="181"/>
    </row>
    <row r="37" spans="1:69" ht="16.5" customHeight="1">
      <c r="A37" s="179">
        <v>13</v>
      </c>
      <c r="B37" s="188"/>
      <c r="C37" s="189"/>
      <c r="D37" s="189"/>
      <c r="E37" s="189"/>
      <c r="F37" s="189"/>
      <c r="G37" s="189"/>
      <c r="H37" s="190"/>
      <c r="I37" s="234"/>
      <c r="J37" s="237"/>
      <c r="K37" s="191"/>
      <c r="L37" s="191"/>
      <c r="M37" s="191"/>
      <c r="N37" s="191"/>
      <c r="O37" s="191"/>
      <c r="P37" s="191"/>
      <c r="Q37" s="191"/>
      <c r="R37" s="191"/>
      <c r="S37" s="191"/>
      <c r="T37" s="229"/>
      <c r="U37" s="238"/>
      <c r="V37" s="238"/>
      <c r="W37" s="238"/>
      <c r="X37" s="238"/>
      <c r="Y37" s="239"/>
      <c r="Z37" s="244"/>
      <c r="AA37" s="245"/>
      <c r="AB37" s="245"/>
      <c r="AC37" s="245"/>
      <c r="AD37" s="245"/>
      <c r="AE37" s="245"/>
      <c r="AF37" s="245"/>
      <c r="AG37" s="246"/>
      <c r="AH37" s="250"/>
      <c r="AI37" s="251"/>
      <c r="AJ37" s="251"/>
      <c r="AK37" s="251"/>
      <c r="AL37" s="251"/>
      <c r="AM37" s="251"/>
      <c r="AN37" s="251"/>
      <c r="AO37" s="251"/>
      <c r="AP37" s="232"/>
      <c r="AQ37" s="230"/>
      <c r="AR37" s="230"/>
      <c r="AS37" s="230"/>
      <c r="AT37" s="230"/>
      <c r="AU37" s="230"/>
      <c r="AV37" s="233"/>
      <c r="AY37" s="180"/>
      <c r="AZ37" s="181"/>
      <c r="BA37" s="180"/>
      <c r="BB37" s="203"/>
      <c r="BC37" s="180"/>
      <c r="BD37" s="181"/>
      <c r="BE37" s="180"/>
      <c r="BF37" s="180"/>
      <c r="BG37" s="180"/>
      <c r="BH37" s="180"/>
      <c r="BI37" s="198"/>
      <c r="BK37" s="181"/>
      <c r="BL37" s="181"/>
      <c r="BM37" s="181"/>
      <c r="BN37" s="181"/>
      <c r="BO37" s="181"/>
      <c r="BP37" s="181"/>
      <c r="BQ37" s="181"/>
    </row>
    <row r="38" spans="1:69" ht="15.75" customHeight="1">
      <c r="A38" s="179">
        <v>14</v>
      </c>
      <c r="B38" s="188"/>
      <c r="C38" s="189"/>
      <c r="D38" s="189"/>
      <c r="E38" s="189"/>
      <c r="F38" s="189"/>
      <c r="G38" s="189"/>
      <c r="H38" s="190"/>
      <c r="I38" s="236"/>
      <c r="J38" s="237"/>
      <c r="K38" s="191"/>
      <c r="L38" s="191"/>
      <c r="M38" s="191"/>
      <c r="N38" s="191"/>
      <c r="O38" s="191"/>
      <c r="P38" s="191"/>
      <c r="Q38" s="191"/>
      <c r="R38" s="191"/>
      <c r="S38" s="191"/>
      <c r="T38" s="229"/>
      <c r="U38" s="238"/>
      <c r="V38" s="238"/>
      <c r="W38" s="238"/>
      <c r="X38" s="238"/>
      <c r="Y38" s="239"/>
      <c r="Z38" s="244"/>
      <c r="AA38" s="245"/>
      <c r="AB38" s="245"/>
      <c r="AC38" s="245"/>
      <c r="AD38" s="245"/>
      <c r="AE38" s="245"/>
      <c r="AF38" s="245"/>
      <c r="AG38" s="246"/>
      <c r="AH38" s="250"/>
      <c r="AI38" s="251"/>
      <c r="AJ38" s="251"/>
      <c r="AK38" s="251"/>
      <c r="AL38" s="251"/>
      <c r="AM38" s="251"/>
      <c r="AN38" s="251"/>
      <c r="AO38" s="251"/>
      <c r="AP38" s="232"/>
      <c r="AQ38" s="230"/>
      <c r="AR38" s="230"/>
      <c r="AS38" s="230"/>
      <c r="AT38" s="230"/>
      <c r="AU38" s="230"/>
      <c r="AV38" s="233"/>
      <c r="AY38" s="180"/>
      <c r="AZ38" s="181"/>
      <c r="BA38" s="180"/>
      <c r="BB38" s="203"/>
      <c r="BC38" s="180"/>
      <c r="BD38" s="181"/>
      <c r="BE38" s="180"/>
      <c r="BF38" s="180"/>
      <c r="BG38" s="180"/>
      <c r="BH38" s="180"/>
      <c r="BI38" s="198"/>
      <c r="BK38" s="181"/>
      <c r="BL38" s="181"/>
      <c r="BM38" s="181"/>
      <c r="BN38" s="181"/>
      <c r="BO38" s="181"/>
      <c r="BP38" s="181"/>
      <c r="BQ38" s="181"/>
    </row>
    <row r="39" spans="1:69" ht="33.75" customHeight="1">
      <c r="A39" s="179">
        <v>15</v>
      </c>
      <c r="B39" s="188"/>
      <c r="C39" s="189"/>
      <c r="D39" s="189"/>
      <c r="E39" s="189"/>
      <c r="F39" s="189"/>
      <c r="G39" s="189"/>
      <c r="H39" s="190"/>
      <c r="I39" s="236"/>
      <c r="J39" s="237"/>
      <c r="K39" s="191"/>
      <c r="L39" s="191"/>
      <c r="M39" s="191"/>
      <c r="N39" s="191"/>
      <c r="O39" s="191"/>
      <c r="P39" s="191"/>
      <c r="Q39" s="191"/>
      <c r="R39" s="191"/>
      <c r="S39" s="210"/>
      <c r="T39" s="229"/>
      <c r="U39" s="238"/>
      <c r="V39" s="238"/>
      <c r="W39" s="238"/>
      <c r="X39" s="238"/>
      <c r="Y39" s="239"/>
      <c r="Z39" s="244"/>
      <c r="AA39" s="245"/>
      <c r="AB39" s="245"/>
      <c r="AC39" s="245"/>
      <c r="AD39" s="245"/>
      <c r="AE39" s="245"/>
      <c r="AF39" s="245"/>
      <c r="AG39" s="246"/>
      <c r="AH39" s="250"/>
      <c r="AI39" s="251"/>
      <c r="AJ39" s="251"/>
      <c r="AK39" s="251"/>
      <c r="AL39" s="251"/>
      <c r="AM39" s="251"/>
      <c r="AN39" s="251"/>
      <c r="AO39" s="251"/>
      <c r="AP39" s="232"/>
      <c r="AQ39" s="230"/>
      <c r="AR39" s="230"/>
      <c r="AS39" s="230"/>
      <c r="AT39" s="230"/>
      <c r="AU39" s="230"/>
      <c r="AV39" s="233"/>
      <c r="AY39" s="180"/>
      <c r="AZ39" s="181"/>
      <c r="BA39" s="180"/>
      <c r="BB39" s="203"/>
      <c r="BC39" s="180"/>
      <c r="BD39" s="181"/>
      <c r="BE39" s="180"/>
      <c r="BF39" s="180"/>
      <c r="BG39" s="180"/>
      <c r="BH39" s="180"/>
      <c r="BI39" s="198"/>
      <c r="BK39" s="181"/>
      <c r="BL39" s="181"/>
      <c r="BM39" s="181"/>
      <c r="BN39" s="181"/>
      <c r="BO39" s="181"/>
      <c r="BP39" s="181"/>
      <c r="BQ39" s="181"/>
    </row>
    <row r="40" spans="1:69" ht="48" customHeight="1">
      <c r="A40" s="179">
        <v>15</v>
      </c>
      <c r="B40" s="188"/>
      <c r="C40" s="189"/>
      <c r="D40" s="189"/>
      <c r="E40" s="189"/>
      <c r="F40" s="189"/>
      <c r="G40" s="189"/>
      <c r="H40" s="190"/>
      <c r="I40" s="236"/>
      <c r="J40" s="237"/>
      <c r="K40" s="191"/>
      <c r="L40" s="191"/>
      <c r="M40" s="191"/>
      <c r="N40" s="191"/>
      <c r="O40" s="191"/>
      <c r="P40" s="191"/>
      <c r="Q40" s="191"/>
      <c r="R40" s="191"/>
      <c r="S40" s="210"/>
      <c r="T40" s="229"/>
      <c r="U40" s="238"/>
      <c r="V40" s="238"/>
      <c r="W40" s="238"/>
      <c r="X40" s="238"/>
      <c r="Y40" s="239"/>
      <c r="Z40" s="247"/>
      <c r="AA40" s="248"/>
      <c r="AB40" s="248"/>
      <c r="AC40" s="248"/>
      <c r="AD40" s="248"/>
      <c r="AE40" s="248"/>
      <c r="AF40" s="248"/>
      <c r="AG40" s="249"/>
      <c r="AH40" s="252"/>
      <c r="AI40" s="253"/>
      <c r="AJ40" s="253"/>
      <c r="AK40" s="253"/>
      <c r="AL40" s="253"/>
      <c r="AM40" s="253"/>
      <c r="AN40" s="253"/>
      <c r="AO40" s="253"/>
      <c r="AP40" s="232"/>
      <c r="AQ40" s="230"/>
      <c r="AR40" s="230"/>
      <c r="AS40" s="230"/>
      <c r="AT40" s="230"/>
      <c r="AU40" s="230"/>
      <c r="AV40" s="233"/>
      <c r="AY40" s="180"/>
      <c r="AZ40" s="181"/>
      <c r="BA40" s="180"/>
      <c r="BB40" s="203"/>
      <c r="BC40" s="180"/>
      <c r="BD40" s="181"/>
      <c r="BE40" s="180"/>
      <c r="BF40" s="180"/>
      <c r="BG40" s="180"/>
      <c r="BH40" s="180"/>
      <c r="BI40" s="198"/>
      <c r="BK40" s="181"/>
      <c r="BL40" s="181"/>
      <c r="BM40" s="181"/>
      <c r="BN40" s="181"/>
      <c r="BO40" s="181"/>
      <c r="BP40" s="181"/>
      <c r="BQ40" s="181"/>
    </row>
    <row r="41" spans="1:69" ht="15" customHeight="1">
      <c r="AY41" s="183"/>
      <c r="AZ41" s="183"/>
      <c r="BA41" s="183"/>
      <c r="BB41" s="183"/>
      <c r="BC41" s="183"/>
      <c r="BD41" s="183"/>
      <c r="BE41" s="183"/>
      <c r="BF41" s="183"/>
      <c r="BG41" s="183"/>
      <c r="BH41" s="183"/>
      <c r="BI41" s="183"/>
      <c r="BJ41" s="182" t="s">
        <v>218</v>
      </c>
      <c r="BK41" s="181">
        <f>COUNTIF(BK20:BK35,#REF!)</f>
        <v>0</v>
      </c>
      <c r="BL41" s="181">
        <f>COUNTIF(BL20:BL35,#REF!)</f>
        <v>0</v>
      </c>
      <c r="BM41" s="181">
        <f>COUNTIF(BM20:BM35,#REF!)</f>
        <v>0</v>
      </c>
      <c r="BN41" s="181">
        <f>COUNTIF(BN20:BN35,#REF!)</f>
        <v>0</v>
      </c>
      <c r="BO41" s="181">
        <f>COUNTIF(BO20:BO35,#REF!)</f>
        <v>0</v>
      </c>
      <c r="BP41" s="181">
        <f>COUNTIF(BP20:BP35,#REF!)</f>
        <v>0</v>
      </c>
      <c r="BQ41" s="181">
        <f>COUNTIF(BQ20:BQ35,#REF!)</f>
        <v>0</v>
      </c>
    </row>
    <row r="42" spans="1:69" ht="15" customHeight="1">
      <c r="AY42" s="183"/>
      <c r="AZ42" s="183"/>
      <c r="BA42" s="183"/>
      <c r="BB42" s="183"/>
      <c r="BC42" s="183"/>
      <c r="BD42" s="183"/>
      <c r="BE42" s="183"/>
      <c r="BF42" s="183"/>
      <c r="BG42" s="183"/>
      <c r="BH42" s="183"/>
      <c r="BI42" s="183"/>
      <c r="BJ42" s="182" t="s">
        <v>219</v>
      </c>
      <c r="BK42" s="181">
        <f>AY39-BK39-BK41</f>
        <v>0</v>
      </c>
      <c r="BL42" s="181">
        <f>COUNTIF(BL21:BL36,#REF!)</f>
        <v>0</v>
      </c>
      <c r="BM42" s="181">
        <f>COUNTIF(BM21:BM36,#REF!)</f>
        <v>0</v>
      </c>
      <c r="BN42" s="181">
        <f>COUNTIF(BN21:BN36,#REF!)</f>
        <v>0</v>
      </c>
      <c r="BO42" s="181">
        <f>COUNTIF(BO21:BO36,#REF!)</f>
        <v>0</v>
      </c>
      <c r="BP42" s="181">
        <v>0</v>
      </c>
      <c r="BQ42" s="181">
        <v>0</v>
      </c>
    </row>
  </sheetData>
  <mergeCells count="133">
    <mergeCell ref="AJ11:AK11"/>
    <mergeCell ref="AY11:BH11"/>
    <mergeCell ref="BK11:BQ11"/>
    <mergeCell ref="A11:D11"/>
    <mergeCell ref="E11:H11"/>
    <mergeCell ref="J11:L11"/>
    <mergeCell ref="M11:S11"/>
    <mergeCell ref="T11:U11"/>
    <mergeCell ref="V11:W11"/>
    <mergeCell ref="A12:D12"/>
    <mergeCell ref="E12:I12"/>
    <mergeCell ref="J12:L12"/>
    <mergeCell ref="M12:S12"/>
    <mergeCell ref="T12:U12"/>
    <mergeCell ref="V12:W12"/>
    <mergeCell ref="X11:AB11"/>
    <mergeCell ref="AC11:AD11"/>
    <mergeCell ref="AE11:AI11"/>
    <mergeCell ref="BK12:BQ12"/>
    <mergeCell ref="I13:S13"/>
    <mergeCell ref="AY13:AY15"/>
    <mergeCell ref="AZ13:AZ15"/>
    <mergeCell ref="BA13:BA15"/>
    <mergeCell ref="BB13:BB15"/>
    <mergeCell ref="BC13:BC15"/>
    <mergeCell ref="BD13:BD15"/>
    <mergeCell ref="BE13:BE15"/>
    <mergeCell ref="BF13:BF15"/>
    <mergeCell ref="X12:AB12"/>
    <mergeCell ref="AC12:AD12"/>
    <mergeCell ref="AE12:AI12"/>
    <mergeCell ref="AJ12:AK12"/>
    <mergeCell ref="AY12:BB12"/>
    <mergeCell ref="BC12:BH12"/>
    <mergeCell ref="BO13:BO15"/>
    <mergeCell ref="BP13:BP15"/>
    <mergeCell ref="BQ13:BQ15"/>
    <mergeCell ref="BK13:BK15"/>
    <mergeCell ref="BL13:BL15"/>
    <mergeCell ref="BM13:BM15"/>
    <mergeCell ref="BN13:BN15"/>
    <mergeCell ref="A14:A15"/>
    <mergeCell ref="B14:H15"/>
    <mergeCell ref="I14:J15"/>
    <mergeCell ref="K14:K15"/>
    <mergeCell ref="L14:L15"/>
    <mergeCell ref="M14:M15"/>
    <mergeCell ref="N14:N15"/>
    <mergeCell ref="BG13:BG15"/>
    <mergeCell ref="BH13:BH15"/>
    <mergeCell ref="O14:O15"/>
    <mergeCell ref="P14:P15"/>
    <mergeCell ref="Q14:Q15"/>
    <mergeCell ref="R14:R15"/>
    <mergeCell ref="S14:S15"/>
    <mergeCell ref="T14:Y15"/>
    <mergeCell ref="Z14:AO14"/>
    <mergeCell ref="AP14:AV15"/>
    <mergeCell ref="Z15:AG15"/>
    <mergeCell ref="AH15:AO15"/>
    <mergeCell ref="T17:Y17"/>
    <mergeCell ref="Z17:AG19"/>
    <mergeCell ref="AH17:AO19"/>
    <mergeCell ref="AP17:AV17"/>
    <mergeCell ref="T18:Y18"/>
    <mergeCell ref="AP18:AV18"/>
    <mergeCell ref="I23:J23"/>
    <mergeCell ref="T23:Y23"/>
    <mergeCell ref="AP23:AV23"/>
    <mergeCell ref="I17:J17"/>
    <mergeCell ref="I18:J18"/>
    <mergeCell ref="I24:J24"/>
    <mergeCell ref="T24:Y24"/>
    <mergeCell ref="AP24:AV24"/>
    <mergeCell ref="T19:Y19"/>
    <mergeCell ref="AP19:AV19"/>
    <mergeCell ref="I21:J21"/>
    <mergeCell ref="T21:Y21"/>
    <mergeCell ref="Z21:AG24"/>
    <mergeCell ref="AH21:AO24"/>
    <mergeCell ref="AP21:AV21"/>
    <mergeCell ref="I22:J22"/>
    <mergeCell ref="T22:Y22"/>
    <mergeCell ref="AP22:AV22"/>
    <mergeCell ref="I19:J19"/>
    <mergeCell ref="T30:Y30"/>
    <mergeCell ref="AP30:AV30"/>
    <mergeCell ref="AH25:AO25"/>
    <mergeCell ref="I26:J26"/>
    <mergeCell ref="T26:Y26"/>
    <mergeCell ref="Z26:AG40"/>
    <mergeCell ref="AH26:AO40"/>
    <mergeCell ref="AP26:AV26"/>
    <mergeCell ref="I27:J27"/>
    <mergeCell ref="T27:Y27"/>
    <mergeCell ref="AP27:AV27"/>
    <mergeCell ref="I28:J28"/>
    <mergeCell ref="I34:J34"/>
    <mergeCell ref="T34:Y34"/>
    <mergeCell ref="AP34:AV34"/>
    <mergeCell ref="I31:J31"/>
    <mergeCell ref="T31:Y31"/>
    <mergeCell ref="AP31:AV31"/>
    <mergeCell ref="I32:J32"/>
    <mergeCell ref="T32:Y32"/>
    <mergeCell ref="AP32:AV32"/>
    <mergeCell ref="I39:J39"/>
    <mergeCell ref="T39:Y39"/>
    <mergeCell ref="AP39:AV39"/>
    <mergeCell ref="T28:Y28"/>
    <mergeCell ref="AP28:AV28"/>
    <mergeCell ref="I29:J29"/>
    <mergeCell ref="T29:Y29"/>
    <mergeCell ref="AP29:AV29"/>
    <mergeCell ref="I30:J30"/>
    <mergeCell ref="I40:J40"/>
    <mergeCell ref="T40:Y40"/>
    <mergeCell ref="AP40:AV40"/>
    <mergeCell ref="I37:J37"/>
    <mergeCell ref="T37:Y37"/>
    <mergeCell ref="AP37:AV37"/>
    <mergeCell ref="I38:J38"/>
    <mergeCell ref="T38:Y38"/>
    <mergeCell ref="AP38:AV38"/>
    <mergeCell ref="I35:J35"/>
    <mergeCell ref="T35:Y35"/>
    <mergeCell ref="AP35:AV35"/>
    <mergeCell ref="I36:J36"/>
    <mergeCell ref="T36:Y36"/>
    <mergeCell ref="AP36:AV36"/>
    <mergeCell ref="I33:J33"/>
    <mergeCell ref="T33:Y33"/>
    <mergeCell ref="AP33:AV33"/>
  </mergeCells>
  <phoneticPr fontId="1"/>
  <conditionalFormatting sqref="BP21:BQ24 BP26:BQ40">
    <cfRule type="expression" dxfId="6" priority="1">
      <formula>BB21="〇"</formula>
    </cfRule>
  </conditionalFormatting>
  <conditionalFormatting sqref="BK21:BO24 BK26:BO40">
    <cfRule type="expression" dxfId="5" priority="2">
      <formula>AY21="〇"</formula>
    </cfRule>
  </conditionalFormatting>
  <dataValidations count="1">
    <dataValidation type="list" allowBlank="1" showInputMessage="1" showErrorMessage="1" sqref="AJ12:AK12" xr:uid="{DBBB5D5F-444C-4F37-AEA8-A4DC5A400E7E}">
      <formula1>"Open, Approved, Feedback, Resolved"</formula1>
    </dataValidation>
  </dataValidations>
  <pageMargins left="0.31496062992125984" right="0.31496062992125984" top="0.98425196850393704" bottom="0.59055118110236227" header="0" footer="0"/>
  <pageSetup paperSize="9" scale="81" orientation="landscape"/>
  <headerFooter>
    <oddFooter>&amp;L&amp;A&amp;C&amp;P/&amp;R&amp;F</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0E7D-2B4D-4A64-BF10-36958DEFD3E6}">
  <sheetPr>
    <outlinePr summaryBelow="0" summaryRight="0"/>
  </sheetPr>
  <dimension ref="A1:N85"/>
  <sheetViews>
    <sheetView workbookViewId="0">
      <pane xSplit="5" ySplit="2" topLeftCell="M3" activePane="bottomRight" state="frozen"/>
      <selection pane="bottomRight" activeCell="E3" sqref="E3"/>
      <selection pane="bottomLeft" activeCell="A3" sqref="A3"/>
      <selection pane="topRight" activeCell="E1" sqref="E1"/>
    </sheetView>
  </sheetViews>
  <sheetFormatPr defaultColWidth="12.5703125" defaultRowHeight="15.75" customHeight="1"/>
  <cols>
    <col min="1" max="1" width="25.5703125" customWidth="1"/>
    <col min="2" max="2" width="29.42578125" customWidth="1"/>
    <col min="3" max="3" width="26.7109375" customWidth="1"/>
    <col min="4" max="4" width="19.140625" customWidth="1"/>
    <col min="5" max="5" width="38.7109375" customWidth="1"/>
    <col min="6" max="6" width="13.140625" hidden="1" customWidth="1"/>
    <col min="7" max="7" width="35.42578125" customWidth="1"/>
    <col min="8" max="8" width="28.28515625" customWidth="1"/>
    <col min="9" max="9" width="28.5703125" customWidth="1"/>
    <col min="10" max="10" width="29.85546875" customWidth="1"/>
    <col min="11" max="11" width="26.7109375" customWidth="1"/>
    <col min="12" max="12" width="27.140625" customWidth="1"/>
    <col min="13" max="13" width="40" customWidth="1"/>
    <col min="14" max="14" width="30.140625" customWidth="1"/>
    <col min="15" max="15" width="25.28515625" customWidth="1"/>
  </cols>
  <sheetData>
    <row r="1" spans="1:14" ht="12.75">
      <c r="A1" s="72"/>
      <c r="B1" s="20"/>
      <c r="C1" s="20"/>
      <c r="D1" s="20"/>
      <c r="F1" s="20"/>
      <c r="G1" s="20"/>
    </row>
    <row r="2" spans="1:14">
      <c r="A2" s="156" t="s">
        <v>267</v>
      </c>
      <c r="B2" s="73" t="s">
        <v>268</v>
      </c>
      <c r="C2" s="74" t="s">
        <v>269</v>
      </c>
      <c r="D2" s="74" t="s">
        <v>54</v>
      </c>
      <c r="E2" s="75" t="s">
        <v>55</v>
      </c>
      <c r="F2" s="21" t="s">
        <v>64</v>
      </c>
      <c r="G2" s="21" t="s">
        <v>270</v>
      </c>
      <c r="H2" s="21" t="s">
        <v>271</v>
      </c>
      <c r="I2" s="155" t="s">
        <v>272</v>
      </c>
      <c r="J2" s="155" t="s">
        <v>273</v>
      </c>
      <c r="K2" s="155" t="s">
        <v>274</v>
      </c>
      <c r="L2" s="155" t="s">
        <v>275</v>
      </c>
      <c r="M2" t="s">
        <v>276</v>
      </c>
      <c r="N2" t="s">
        <v>277</v>
      </c>
    </row>
    <row r="3" spans="1:14" ht="12.75" customHeight="1">
      <c r="A3" s="207" t="s">
        <v>278</v>
      </c>
      <c r="B3" s="80" t="s">
        <v>279</v>
      </c>
      <c r="C3" s="76" t="s">
        <v>83</v>
      </c>
      <c r="D3" s="77" t="s">
        <v>69</v>
      </c>
      <c r="E3" s="78" t="s">
        <v>280</v>
      </c>
      <c r="F3" s="79" t="s">
        <v>74</v>
      </c>
      <c r="H3" t="s">
        <v>281</v>
      </c>
      <c r="I3" t="s">
        <v>282</v>
      </c>
      <c r="J3" t="s">
        <v>283</v>
      </c>
      <c r="K3" t="s">
        <v>284</v>
      </c>
      <c r="L3" s="218">
        <v>45915</v>
      </c>
      <c r="M3" s="216" t="s">
        <v>285</v>
      </c>
      <c r="N3" t="s">
        <v>286</v>
      </c>
    </row>
    <row r="4" spans="1:14" ht="12.75">
      <c r="A4" s="158" t="s">
        <v>287</v>
      </c>
      <c r="B4" s="80" t="s">
        <v>288</v>
      </c>
      <c r="C4" s="76" t="s">
        <v>83</v>
      </c>
      <c r="D4" s="77" t="s">
        <v>69</v>
      </c>
      <c r="E4" s="81" t="s">
        <v>289</v>
      </c>
      <c r="F4" s="82" t="s">
        <v>74</v>
      </c>
      <c r="H4" t="s">
        <v>235</v>
      </c>
      <c r="I4" t="s">
        <v>282</v>
      </c>
      <c r="J4" s="208" t="s">
        <v>283</v>
      </c>
      <c r="K4" t="s">
        <v>290</v>
      </c>
    </row>
    <row r="5" spans="1:14" ht="12.75">
      <c r="A5" s="158" t="s">
        <v>291</v>
      </c>
      <c r="B5" s="80" t="s">
        <v>292</v>
      </c>
      <c r="C5" s="76" t="s">
        <v>83</v>
      </c>
      <c r="D5" s="77" t="s">
        <v>69</v>
      </c>
      <c r="E5" s="81" t="s">
        <v>293</v>
      </c>
      <c r="F5" s="82" t="s">
        <v>74</v>
      </c>
      <c r="H5" t="s">
        <v>235</v>
      </c>
      <c r="I5" t="s">
        <v>282</v>
      </c>
      <c r="J5" s="208" t="s">
        <v>283</v>
      </c>
      <c r="K5" t="s">
        <v>290</v>
      </c>
    </row>
    <row r="6" spans="1:14" ht="12.75">
      <c r="A6" s="158" t="s">
        <v>294</v>
      </c>
      <c r="B6" s="80" t="s">
        <v>295</v>
      </c>
      <c r="C6" s="76" t="s">
        <v>83</v>
      </c>
      <c r="D6" s="77" t="s">
        <v>69</v>
      </c>
      <c r="E6" s="81" t="s">
        <v>296</v>
      </c>
      <c r="F6" s="82" t="s">
        <v>74</v>
      </c>
      <c r="H6" t="s">
        <v>235</v>
      </c>
      <c r="I6" t="s">
        <v>282</v>
      </c>
      <c r="J6" s="208" t="s">
        <v>283</v>
      </c>
      <c r="K6" t="s">
        <v>290</v>
      </c>
    </row>
    <row r="7" spans="1:14" ht="12.75">
      <c r="A7" s="158" t="s">
        <v>297</v>
      </c>
      <c r="B7" s="80" t="s">
        <v>298</v>
      </c>
      <c r="C7" s="76" t="s">
        <v>299</v>
      </c>
      <c r="D7" s="77" t="s">
        <v>80</v>
      </c>
      <c r="E7" s="81" t="s">
        <v>300</v>
      </c>
      <c r="F7" s="82" t="s">
        <v>74</v>
      </c>
      <c r="H7" t="s">
        <v>235</v>
      </c>
      <c r="I7" t="s">
        <v>282</v>
      </c>
      <c r="J7" s="208" t="s">
        <v>283</v>
      </c>
      <c r="K7" t="s">
        <v>290</v>
      </c>
    </row>
    <row r="8" spans="1:14" ht="12.75">
      <c r="A8" s="158" t="s">
        <v>301</v>
      </c>
      <c r="B8" s="80" t="s">
        <v>302</v>
      </c>
      <c r="C8" s="76" t="s">
        <v>72</v>
      </c>
      <c r="D8" s="77" t="s">
        <v>80</v>
      </c>
      <c r="E8" s="81" t="s">
        <v>303</v>
      </c>
      <c r="F8" s="82" t="s">
        <v>74</v>
      </c>
    </row>
    <row r="9" spans="1:14" ht="12.75">
      <c r="A9" s="158" t="s">
        <v>304</v>
      </c>
      <c r="B9" s="80" t="s">
        <v>305</v>
      </c>
      <c r="C9" s="76" t="s">
        <v>299</v>
      </c>
      <c r="D9" s="77" t="s">
        <v>80</v>
      </c>
      <c r="E9" s="81" t="s">
        <v>303</v>
      </c>
      <c r="F9" s="82" t="s">
        <v>74</v>
      </c>
    </row>
    <row r="10" spans="1:14" ht="12.75">
      <c r="A10" s="158"/>
      <c r="B10" s="80"/>
      <c r="C10" s="76"/>
      <c r="D10" s="77"/>
      <c r="E10" s="81"/>
      <c r="F10" s="82" t="s">
        <v>74</v>
      </c>
    </row>
    <row r="11" spans="1:14" ht="12.75">
      <c r="A11" s="158"/>
      <c r="B11" s="80"/>
      <c r="C11" s="76"/>
      <c r="D11" s="77"/>
      <c r="E11" s="81"/>
      <c r="F11" s="82" t="s">
        <v>74</v>
      </c>
    </row>
    <row r="12" spans="1:14" ht="12.75">
      <c r="A12" s="158"/>
      <c r="B12" s="80"/>
      <c r="C12" s="76"/>
      <c r="D12" s="77"/>
      <c r="E12" s="81"/>
      <c r="F12" s="82" t="s">
        <v>74</v>
      </c>
    </row>
    <row r="13" spans="1:14" ht="12.75">
      <c r="A13" s="158"/>
      <c r="B13" s="80"/>
      <c r="C13" s="76"/>
      <c r="D13" s="77"/>
      <c r="E13" s="81"/>
      <c r="F13" s="82" t="s">
        <v>74</v>
      </c>
    </row>
    <row r="14" spans="1:14" ht="12.75">
      <c r="A14" s="158"/>
      <c r="B14" s="80"/>
      <c r="C14" s="76"/>
      <c r="D14" s="77"/>
      <c r="E14" s="81"/>
      <c r="F14" s="82" t="s">
        <v>74</v>
      </c>
    </row>
    <row r="15" spans="1:14" ht="12.75">
      <c r="A15" s="158"/>
      <c r="B15" s="80"/>
      <c r="C15" s="76"/>
      <c r="D15" s="77"/>
      <c r="E15" s="81"/>
      <c r="F15" s="82" t="s">
        <v>74</v>
      </c>
    </row>
    <row r="16" spans="1:14" ht="12.75">
      <c r="A16" s="158"/>
      <c r="B16" s="145"/>
      <c r="C16" s="76"/>
      <c r="D16" s="77"/>
      <c r="E16" s="81"/>
      <c r="F16" s="82" t="s">
        <v>94</v>
      </c>
    </row>
    <row r="17" spans="1:6" ht="12.75">
      <c r="A17" s="158"/>
      <c r="B17" s="80"/>
      <c r="C17" s="76"/>
      <c r="D17" s="77"/>
      <c r="E17" s="81"/>
      <c r="F17" s="82" t="s">
        <v>94</v>
      </c>
    </row>
    <row r="18" spans="1:6" ht="12.75">
      <c r="A18" s="158"/>
      <c r="B18" s="145"/>
      <c r="C18" s="76"/>
      <c r="D18" s="77"/>
      <c r="E18" s="81"/>
      <c r="F18" s="82" t="s">
        <v>74</v>
      </c>
    </row>
    <row r="19" spans="1:6" ht="12.75">
      <c r="A19" s="158"/>
      <c r="B19" s="80"/>
      <c r="C19" s="76"/>
      <c r="D19" s="77"/>
      <c r="E19" s="81"/>
      <c r="F19" s="82" t="s">
        <v>74</v>
      </c>
    </row>
    <row r="20" spans="1:6" ht="12.75">
      <c r="A20" s="158"/>
      <c r="B20" s="80"/>
      <c r="C20" s="76"/>
      <c r="D20" s="77"/>
      <c r="E20" s="81"/>
      <c r="F20" s="82" t="s">
        <v>74</v>
      </c>
    </row>
    <row r="21" spans="1:6" ht="12.75">
      <c r="A21" s="158"/>
      <c r="B21" s="145"/>
      <c r="C21" s="76"/>
      <c r="D21" s="77"/>
      <c r="E21" s="81"/>
      <c r="F21" s="82" t="s">
        <v>101</v>
      </c>
    </row>
    <row r="22" spans="1:6" ht="12.75">
      <c r="A22" s="158"/>
      <c r="B22" s="145"/>
      <c r="C22" s="76"/>
      <c r="D22" s="77"/>
      <c r="E22" s="81"/>
      <c r="F22" s="82" t="s">
        <v>113</v>
      </c>
    </row>
    <row r="23" spans="1:6" ht="12.75">
      <c r="A23" s="158"/>
      <c r="B23" s="80"/>
      <c r="C23" s="76"/>
      <c r="D23" s="77"/>
      <c r="E23" s="81"/>
      <c r="F23" s="82" t="s">
        <v>113</v>
      </c>
    </row>
    <row r="24" spans="1:6" ht="12.75">
      <c r="A24" s="158"/>
      <c r="B24" s="80"/>
      <c r="C24" s="76"/>
      <c r="D24" s="77"/>
      <c r="E24" s="81"/>
      <c r="F24" s="82" t="s">
        <v>113</v>
      </c>
    </row>
    <row r="25" spans="1:6" ht="12.75">
      <c r="A25" s="158"/>
      <c r="B25" s="80"/>
      <c r="C25" s="76"/>
      <c r="D25" s="77"/>
      <c r="E25" s="81"/>
      <c r="F25" s="82" t="s">
        <v>113</v>
      </c>
    </row>
    <row r="26" spans="1:6" ht="12.75">
      <c r="A26" s="158"/>
      <c r="B26" s="80"/>
      <c r="C26" s="76"/>
      <c r="D26" s="77"/>
      <c r="E26" s="81"/>
      <c r="F26" s="82" t="s">
        <v>113</v>
      </c>
    </row>
    <row r="27" spans="1:6" ht="12.75">
      <c r="A27" s="158"/>
      <c r="B27" s="80"/>
      <c r="C27" s="76"/>
      <c r="D27" s="77"/>
      <c r="E27" s="81"/>
      <c r="F27" s="82" t="s">
        <v>113</v>
      </c>
    </row>
    <row r="28" spans="1:6" ht="12.75">
      <c r="A28" s="158"/>
      <c r="B28" s="80"/>
      <c r="C28" s="76"/>
      <c r="D28" s="77"/>
      <c r="E28" s="81"/>
      <c r="F28" s="82" t="s">
        <v>113</v>
      </c>
    </row>
    <row r="29" spans="1:6" ht="12.75">
      <c r="A29" s="158"/>
      <c r="B29" s="145"/>
      <c r="C29" s="76"/>
      <c r="D29" s="77"/>
      <c r="E29" s="81"/>
      <c r="F29" s="82" t="s">
        <v>74</v>
      </c>
    </row>
    <row r="30" spans="1:6" ht="12.75">
      <c r="A30" s="158"/>
      <c r="B30" s="80"/>
      <c r="C30" s="76"/>
      <c r="D30" s="77"/>
      <c r="E30" s="81"/>
      <c r="F30" s="82" t="s">
        <v>74</v>
      </c>
    </row>
    <row r="31" spans="1:6" ht="12.75">
      <c r="A31" s="158"/>
      <c r="B31" s="80"/>
      <c r="C31" s="76"/>
      <c r="D31" s="77"/>
      <c r="E31" s="81"/>
      <c r="F31" s="82" t="s">
        <v>74</v>
      </c>
    </row>
    <row r="32" spans="1:6" ht="12.75">
      <c r="A32" s="158"/>
      <c r="B32" s="80"/>
      <c r="C32" s="76"/>
      <c r="D32" s="77"/>
      <c r="E32" s="81"/>
      <c r="F32" s="82" t="s">
        <v>74</v>
      </c>
    </row>
    <row r="33" spans="1:6" ht="12.75">
      <c r="A33" s="158"/>
      <c r="B33" s="80"/>
      <c r="C33" s="76"/>
      <c r="D33" s="77"/>
      <c r="E33" s="81"/>
      <c r="F33" s="82" t="s">
        <v>74</v>
      </c>
    </row>
    <row r="34" spans="1:6" ht="12.75">
      <c r="A34" s="158"/>
      <c r="B34" s="80"/>
      <c r="C34" s="76"/>
      <c r="D34" s="77"/>
      <c r="E34" s="81"/>
      <c r="F34" s="82" t="s">
        <v>74</v>
      </c>
    </row>
    <row r="35" spans="1:6" ht="12.75">
      <c r="A35" s="158"/>
      <c r="B35" s="145"/>
      <c r="C35" s="76"/>
      <c r="D35" s="77"/>
      <c r="E35" s="81"/>
      <c r="F35" s="82" t="s">
        <v>94</v>
      </c>
    </row>
    <row r="36" spans="1:6" ht="12.75">
      <c r="A36" s="158"/>
      <c r="B36" s="80"/>
      <c r="C36" s="76"/>
      <c r="D36" s="77"/>
      <c r="E36" s="81"/>
      <c r="F36" s="82" t="s">
        <v>94</v>
      </c>
    </row>
    <row r="37" spans="1:6" ht="12.75">
      <c r="A37" s="158"/>
      <c r="B37" s="80"/>
      <c r="C37" s="76"/>
      <c r="D37" s="77"/>
      <c r="E37" s="81"/>
      <c r="F37" s="82" t="s">
        <v>94</v>
      </c>
    </row>
    <row r="38" spans="1:6" ht="12.75">
      <c r="A38" s="158"/>
      <c r="B38" s="80"/>
      <c r="C38" s="76"/>
      <c r="D38" s="77"/>
      <c r="E38" s="81"/>
      <c r="F38" s="82" t="s">
        <v>94</v>
      </c>
    </row>
    <row r="39" spans="1:6" ht="12.75">
      <c r="A39" s="158"/>
      <c r="B39" s="80"/>
      <c r="C39" s="76"/>
      <c r="D39" s="77"/>
      <c r="E39" s="81"/>
      <c r="F39" s="82" t="s">
        <v>94</v>
      </c>
    </row>
    <row r="40" spans="1:6" ht="12.75">
      <c r="A40" s="158"/>
      <c r="B40" s="80"/>
      <c r="C40" s="76"/>
      <c r="D40" s="77"/>
      <c r="E40" s="81"/>
      <c r="F40" s="82"/>
    </row>
    <row r="41" spans="1:6" ht="12.75">
      <c r="A41" s="158"/>
      <c r="B41" s="80"/>
      <c r="C41" s="76"/>
      <c r="D41" s="77"/>
      <c r="E41" s="81"/>
      <c r="F41" s="82" t="s">
        <v>94</v>
      </c>
    </row>
    <row r="42" spans="1:6" ht="12.75">
      <c r="A42" s="158"/>
      <c r="B42" s="80"/>
      <c r="C42" s="76"/>
      <c r="D42" s="77"/>
      <c r="E42" s="81"/>
      <c r="F42" s="82" t="s">
        <v>94</v>
      </c>
    </row>
    <row r="43" spans="1:6" ht="12.75">
      <c r="A43" s="158"/>
      <c r="B43" s="80"/>
      <c r="C43" s="76"/>
      <c r="D43" s="77"/>
      <c r="E43" s="81"/>
      <c r="F43" s="82" t="s">
        <v>94</v>
      </c>
    </row>
    <row r="44" spans="1:6" ht="12.75">
      <c r="A44" s="158"/>
      <c r="B44" s="80"/>
      <c r="C44" s="76"/>
      <c r="D44" s="77"/>
      <c r="E44" s="81"/>
      <c r="F44" s="82" t="s">
        <v>94</v>
      </c>
    </row>
    <row r="45" spans="1:6" ht="12.75">
      <c r="A45" s="158"/>
      <c r="B45" s="80"/>
      <c r="C45" s="76"/>
      <c r="D45" s="77"/>
      <c r="E45" s="81"/>
      <c r="F45" s="82" t="s">
        <v>94</v>
      </c>
    </row>
    <row r="46" spans="1:6" ht="12.75">
      <c r="A46" s="158"/>
      <c r="B46" s="145"/>
      <c r="C46" s="76"/>
      <c r="D46" s="77"/>
      <c r="E46" s="81"/>
      <c r="F46" s="82" t="s">
        <v>94</v>
      </c>
    </row>
    <row r="47" spans="1:6" ht="12.75">
      <c r="A47" s="158"/>
      <c r="B47" s="80"/>
      <c r="C47" s="76"/>
      <c r="D47" s="77"/>
      <c r="E47" s="81"/>
      <c r="F47" s="82" t="s">
        <v>94</v>
      </c>
    </row>
    <row r="48" spans="1:6" ht="12.75">
      <c r="A48" s="158"/>
      <c r="B48" s="80"/>
      <c r="C48" s="76"/>
      <c r="D48" s="77"/>
      <c r="E48" s="81"/>
      <c r="F48" s="82" t="s">
        <v>94</v>
      </c>
    </row>
    <row r="49" spans="1:6" ht="12.75">
      <c r="A49" s="158"/>
      <c r="B49" s="80"/>
      <c r="C49" s="76"/>
      <c r="D49" s="77"/>
      <c r="E49" s="81"/>
      <c r="F49" s="82" t="s">
        <v>94</v>
      </c>
    </row>
    <row r="50" spans="1:6" ht="12.75">
      <c r="A50" s="158"/>
      <c r="B50" s="80"/>
      <c r="C50" s="76"/>
      <c r="D50" s="77"/>
      <c r="E50" s="81"/>
      <c r="F50" s="82" t="s">
        <v>94</v>
      </c>
    </row>
    <row r="51" spans="1:6" ht="12.75">
      <c r="A51" s="159"/>
      <c r="B51" s="83"/>
      <c r="C51" s="76"/>
      <c r="D51" s="77"/>
      <c r="E51" s="84"/>
      <c r="F51" s="85" t="s">
        <v>94</v>
      </c>
    </row>
    <row r="52" spans="1:6" ht="12.75">
      <c r="A52" s="157"/>
      <c r="B52" s="144"/>
      <c r="C52" s="76"/>
      <c r="D52" s="77"/>
      <c r="E52" s="78"/>
      <c r="F52" s="79" t="s">
        <v>94</v>
      </c>
    </row>
    <row r="53" spans="1:6" ht="12.75">
      <c r="A53" s="158"/>
      <c r="B53" s="80"/>
      <c r="C53" s="76"/>
      <c r="D53" s="77"/>
      <c r="E53" s="81"/>
      <c r="F53" s="82" t="s">
        <v>94</v>
      </c>
    </row>
    <row r="54" spans="1:6" ht="12.75">
      <c r="A54" s="158"/>
      <c r="B54" s="80"/>
      <c r="C54" s="76"/>
      <c r="D54" s="77"/>
      <c r="E54" s="81"/>
      <c r="F54" s="82" t="s">
        <v>94</v>
      </c>
    </row>
    <row r="55" spans="1:6" ht="12.75">
      <c r="A55" s="158"/>
      <c r="B55" s="80"/>
      <c r="C55" s="76"/>
      <c r="D55" s="77"/>
      <c r="E55" s="81"/>
      <c r="F55" s="82" t="s">
        <v>94</v>
      </c>
    </row>
    <row r="56" spans="1:6" ht="12.75">
      <c r="A56" s="160"/>
      <c r="B56" s="145"/>
      <c r="C56" s="76"/>
      <c r="D56" s="77"/>
      <c r="E56" s="86"/>
      <c r="F56" s="82" t="s">
        <v>94</v>
      </c>
    </row>
    <row r="57" spans="1:6" ht="12.75">
      <c r="A57" s="160"/>
      <c r="B57" s="80"/>
      <c r="C57" s="76"/>
      <c r="D57" s="77"/>
      <c r="E57" s="86"/>
      <c r="F57" s="82" t="s">
        <v>94</v>
      </c>
    </row>
    <row r="58" spans="1:6" ht="12.75">
      <c r="A58" s="160"/>
      <c r="B58" s="80"/>
      <c r="C58" s="76"/>
      <c r="D58" s="77"/>
      <c r="E58" s="86"/>
      <c r="F58" s="82" t="s">
        <v>101</v>
      </c>
    </row>
    <row r="59" spans="1:6" ht="12.75">
      <c r="A59" s="161"/>
      <c r="B59" s="80"/>
      <c r="C59" s="76"/>
      <c r="D59" s="77"/>
      <c r="E59" s="87"/>
      <c r="F59" s="82" t="s">
        <v>101</v>
      </c>
    </row>
    <row r="60" spans="1:6" ht="12.75">
      <c r="A60" s="161"/>
      <c r="B60" s="80"/>
      <c r="C60" s="76"/>
      <c r="D60" s="77"/>
      <c r="E60" s="87"/>
      <c r="F60" s="82" t="s">
        <v>101</v>
      </c>
    </row>
    <row r="61" spans="1:6" ht="12.75">
      <c r="A61" s="158"/>
      <c r="B61" s="145"/>
      <c r="C61" s="76"/>
      <c r="D61" s="77"/>
      <c r="E61" s="81"/>
      <c r="F61" s="82" t="s">
        <v>94</v>
      </c>
    </row>
    <row r="62" spans="1:6" ht="12.75">
      <c r="A62" s="158"/>
      <c r="B62" s="80"/>
      <c r="C62" s="76"/>
      <c r="D62" s="77"/>
      <c r="E62" s="81"/>
      <c r="F62" s="82" t="s">
        <v>94</v>
      </c>
    </row>
    <row r="63" spans="1:6" ht="12.75">
      <c r="A63" s="158"/>
      <c r="B63" s="80"/>
      <c r="C63" s="77"/>
      <c r="D63" s="77"/>
      <c r="E63" s="81"/>
      <c r="F63" s="82" t="s">
        <v>94</v>
      </c>
    </row>
    <row r="64" spans="1:6" ht="12.75">
      <c r="A64" s="158"/>
      <c r="B64" s="80"/>
      <c r="C64" s="77"/>
      <c r="D64" s="77"/>
      <c r="E64" s="81"/>
      <c r="F64" s="82" t="s">
        <v>94</v>
      </c>
    </row>
    <row r="65" spans="1:6" ht="12.75">
      <c r="A65" s="158"/>
      <c r="B65" s="80"/>
      <c r="C65" s="77"/>
      <c r="D65" s="77"/>
      <c r="E65" s="81"/>
      <c r="F65" s="82" t="s">
        <v>94</v>
      </c>
    </row>
    <row r="66" spans="1:6" ht="12.75">
      <c r="A66" s="158"/>
      <c r="B66" s="80"/>
      <c r="C66" s="88"/>
      <c r="D66" s="77"/>
      <c r="E66" s="81"/>
      <c r="F66" s="82" t="s">
        <v>101</v>
      </c>
    </row>
    <row r="67" spans="1:6" ht="12.75">
      <c r="A67" s="158"/>
      <c r="B67" s="145"/>
      <c r="C67" s="77"/>
      <c r="D67" s="77"/>
      <c r="E67" s="81"/>
      <c r="F67" s="82" t="s">
        <v>94</v>
      </c>
    </row>
    <row r="68" spans="1:6" ht="12.75">
      <c r="A68" s="158"/>
      <c r="B68" s="80"/>
      <c r="C68" s="77"/>
      <c r="D68" s="77"/>
      <c r="E68" s="81"/>
      <c r="F68" s="82" t="s">
        <v>94</v>
      </c>
    </row>
    <row r="69" spans="1:6" ht="12.75">
      <c r="A69" s="158"/>
      <c r="B69" s="145"/>
      <c r="C69" s="77"/>
      <c r="D69" s="77"/>
      <c r="E69" s="81"/>
      <c r="F69" s="82" t="s">
        <v>101</v>
      </c>
    </row>
    <row r="70" spans="1:6" ht="12.75">
      <c r="A70" s="158"/>
      <c r="B70" s="80"/>
      <c r="C70" s="77"/>
      <c r="D70" s="77"/>
      <c r="E70" s="81"/>
      <c r="F70" s="82" t="s">
        <v>101</v>
      </c>
    </row>
    <row r="71" spans="1:6" ht="12.75">
      <c r="A71" s="158"/>
      <c r="B71" s="145"/>
      <c r="C71" s="77"/>
      <c r="D71" s="77"/>
      <c r="E71" s="81"/>
      <c r="F71" s="82" t="s">
        <v>101</v>
      </c>
    </row>
    <row r="72" spans="1:6" ht="12.75">
      <c r="A72" s="158"/>
      <c r="B72" s="80"/>
      <c r="C72" s="77"/>
      <c r="D72" s="77"/>
      <c r="E72" s="81"/>
      <c r="F72" s="82" t="s">
        <v>101</v>
      </c>
    </row>
    <row r="73" spans="1:6" ht="12.75">
      <c r="A73" s="158"/>
      <c r="B73" s="145"/>
      <c r="C73" s="77"/>
      <c r="D73" s="77"/>
      <c r="E73" s="81"/>
      <c r="F73" s="82" t="s">
        <v>101</v>
      </c>
    </row>
    <row r="74" spans="1:6" ht="12.75">
      <c r="A74" s="158"/>
      <c r="B74" s="89"/>
      <c r="C74" s="77"/>
      <c r="D74" s="77"/>
      <c r="E74" s="81"/>
      <c r="F74" s="82" t="s">
        <v>101</v>
      </c>
    </row>
    <row r="75" spans="1:6" ht="12.75">
      <c r="A75" s="158"/>
      <c r="B75" s="145"/>
      <c r="C75" s="77"/>
      <c r="D75" s="77"/>
      <c r="E75" s="81"/>
      <c r="F75" s="82" t="s">
        <v>101</v>
      </c>
    </row>
    <row r="76" spans="1:6" ht="12.75">
      <c r="A76" s="158"/>
      <c r="B76" s="89"/>
      <c r="C76" s="77"/>
      <c r="D76" s="77"/>
      <c r="E76" s="81"/>
      <c r="F76" s="82" t="s">
        <v>101</v>
      </c>
    </row>
    <row r="77" spans="1:6" ht="12.75">
      <c r="A77" s="158"/>
      <c r="B77" s="89"/>
      <c r="C77" s="77"/>
      <c r="D77" s="77"/>
      <c r="E77" s="81"/>
      <c r="F77" s="82" t="s">
        <v>101</v>
      </c>
    </row>
    <row r="78" spans="1:6" ht="12.75">
      <c r="A78" s="158"/>
      <c r="B78" s="145"/>
      <c r="C78" s="77"/>
      <c r="D78" s="77"/>
      <c r="E78" s="81"/>
      <c r="F78" s="82"/>
    </row>
    <row r="79" spans="1:6" ht="12.75">
      <c r="A79" s="158"/>
      <c r="B79" s="89"/>
      <c r="C79" s="77"/>
      <c r="D79" s="77"/>
      <c r="E79" s="81"/>
      <c r="F79" s="82"/>
    </row>
    <row r="80" spans="1:6" ht="12.75">
      <c r="A80" s="158"/>
      <c r="B80" s="145"/>
      <c r="C80" s="77"/>
      <c r="D80" s="77"/>
      <c r="E80" s="81"/>
      <c r="F80" s="82"/>
    </row>
    <row r="81" spans="1:6" ht="12.75">
      <c r="A81" s="158"/>
      <c r="B81" s="89"/>
      <c r="C81" s="77"/>
      <c r="D81" s="77"/>
      <c r="E81" s="81"/>
      <c r="F81" s="82"/>
    </row>
    <row r="82" spans="1:6" ht="12.75">
      <c r="A82" s="158"/>
      <c r="B82" s="89"/>
      <c r="C82" s="77"/>
      <c r="D82" s="77"/>
      <c r="E82" s="81"/>
      <c r="F82" s="82"/>
    </row>
    <row r="83" spans="1:6" ht="12.75">
      <c r="A83" s="158"/>
      <c r="B83" s="145"/>
      <c r="C83" s="77"/>
      <c r="D83" s="77"/>
      <c r="E83" s="81"/>
      <c r="F83" s="82"/>
    </row>
    <row r="84" spans="1:6" ht="12.75">
      <c r="A84" s="158"/>
      <c r="B84" s="89"/>
      <c r="C84" s="77"/>
      <c r="D84" s="77"/>
      <c r="E84" s="81"/>
      <c r="F84" s="82"/>
    </row>
    <row r="85" spans="1:6" ht="12.75">
      <c r="A85" s="159"/>
      <c r="B85" s="147"/>
      <c r="C85" s="90"/>
      <c r="D85" s="90"/>
      <c r="E85" s="91"/>
      <c r="F85" s="85"/>
    </row>
  </sheetData>
  <conditionalFormatting sqref="E2:E85">
    <cfRule type="expression" dxfId="4" priority="2">
      <formula>COUNTIFS(C$1:C2,C2,E$1:E2,E2)&gt;1</formula>
    </cfRule>
  </conditionalFormatting>
  <conditionalFormatting sqref="A2:A85">
    <cfRule type="expression" dxfId="3" priority="17">
      <formula>COUNTIFS(D$1:D2,D2,A$1:A2,A2)&gt;1</formula>
    </cfRule>
  </conditionalFormatting>
  <conditionalFormatting sqref="A1">
    <cfRule type="expression" dxfId="2" priority="19">
      <formula>COUNTIFS(C$1:C1,C1,A$1:A1,A1)&gt;1</formula>
    </cfRule>
  </conditionalFormatting>
  <dataValidations count="5">
    <dataValidation type="list" allowBlank="1" showErrorMessage="1" sqref="C63:C81" xr:uid="{6F2D9167-D3AB-4C75-8926-C9082EF4D394}">
      <formula1>"DELETE,GET,POST"</formula1>
    </dataValidation>
    <dataValidation type="list" allowBlank="1" showErrorMessage="1" sqref="D3:D81" xr:uid="{009F6D45-9563-40C6-A6B0-A2170FB2B0EE}">
      <formula1>"/private,/public"</formula1>
    </dataValidation>
    <dataValidation type="list" allowBlank="1" showErrorMessage="1" sqref="F3:F77" xr:uid="{27E78247-FFE0-4647-B1AA-AFB108735B37}">
      <formula1>"未選択,Keane,荒尾,森永,水岡,辻"</formula1>
    </dataValidation>
    <dataValidation type="list" allowBlank="1" showInputMessage="1" showErrorMessage="1" sqref="N3:N7 H3:H81" xr:uid="{7A466343-50F5-48F4-8F4E-539F2BCC0B7F}">
      <formula1>"Open, In Progress, Done, Feedback, QA"</formula1>
    </dataValidation>
    <dataValidation type="list" allowBlank="1" showErrorMessage="1" sqref="C3:C62" xr:uid="{83D2F07B-3121-4522-88FA-AE7FB37FD26F}">
      <formula1>"GET, POST, PUT, PATCH, DELETE"</formula1>
    </dataValidation>
  </dataValidations>
  <hyperlinks>
    <hyperlink ref="A3" r:id="rId1" xr:uid="{DB2E2547-86C8-408F-ACC0-2567A9950094}"/>
  </hyperlinks>
  <pageMargins left="0" right="0" top="0" bottom="0" header="0" footer="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407"/>
  <sheetViews>
    <sheetView workbookViewId="0">
      <pane xSplit="1" ySplit="2" topLeftCell="B3" activePane="bottomRight" state="frozen"/>
      <selection pane="bottomRight" activeCell="B3" sqref="B3"/>
      <selection pane="bottomLeft" activeCell="A3" sqref="A3"/>
      <selection pane="topRight" activeCell="B1" sqref="B1"/>
    </sheetView>
  </sheetViews>
  <sheetFormatPr defaultColWidth="12.5703125" defaultRowHeight="15.75" customHeight="1"/>
  <cols>
    <col min="1" max="1" width="19.42578125" customWidth="1"/>
    <col min="2" max="2" width="14" customWidth="1"/>
    <col min="4" max="7" width="31" customWidth="1"/>
    <col min="11" max="11" width="42.28515625" customWidth="1"/>
  </cols>
  <sheetData>
    <row r="1" spans="1:13">
      <c r="A1" s="148" t="s">
        <v>306</v>
      </c>
    </row>
    <row r="2" spans="1:13">
      <c r="A2" s="149" t="s">
        <v>307</v>
      </c>
    </row>
    <row r="3" spans="1:13">
      <c r="C3" s="92" t="s">
        <v>308</v>
      </c>
      <c r="D3" s="1" t="s">
        <v>309</v>
      </c>
      <c r="J3" s="404"/>
      <c r="K3" s="404"/>
    </row>
    <row r="4" spans="1:13">
      <c r="C4" s="92" t="s">
        <v>310</v>
      </c>
      <c r="D4" s="1" t="s">
        <v>311</v>
      </c>
      <c r="F4" s="1" t="s">
        <v>312</v>
      </c>
    </row>
    <row r="5" spans="1:13">
      <c r="C5" s="92" t="s">
        <v>313</v>
      </c>
      <c r="D5" s="1" t="s">
        <v>314</v>
      </c>
      <c r="F5" s="1" t="s">
        <v>315</v>
      </c>
      <c r="I5" s="150" t="s">
        <v>316</v>
      </c>
      <c r="J5" s="1">
        <f t="shared" ref="J5:K5" si="0">_xlfn.UNIQUE(H5:H407)</f>
        <v>0</v>
      </c>
      <c r="K5" s="1" t="str">
        <f t="shared" si="0"/>
        <v>currentDate → selectedHoldingDate</v>
      </c>
      <c r="L5" s="1">
        <f t="shared" ref="L5:L117" si="1">COUNTIF($D:$D,K5)</f>
        <v>0</v>
      </c>
    </row>
    <row r="6" spans="1:13">
      <c r="C6" s="92" t="s">
        <v>317</v>
      </c>
      <c r="D6" s="1" t="s">
        <v>318</v>
      </c>
      <c r="F6" s="1" t="s">
        <v>319</v>
      </c>
      <c r="I6" s="151" t="s">
        <v>320</v>
      </c>
      <c r="K6" s="1" t="s">
        <v>320</v>
      </c>
      <c r="L6" s="1">
        <f t="shared" si="1"/>
        <v>1</v>
      </c>
    </row>
    <row r="7" spans="1:13">
      <c r="C7" s="92" t="s">
        <v>321</v>
      </c>
      <c r="D7" s="1" t="s">
        <v>322</v>
      </c>
      <c r="F7" s="1" t="s">
        <v>323</v>
      </c>
      <c r="I7" s="151" t="s">
        <v>324</v>
      </c>
      <c r="K7" s="1" t="s">
        <v>324</v>
      </c>
      <c r="L7" s="1">
        <f t="shared" si="1"/>
        <v>1</v>
      </c>
    </row>
    <row r="8" spans="1:13">
      <c r="C8" s="92" t="s">
        <v>325</v>
      </c>
      <c r="D8" s="1" t="s">
        <v>326</v>
      </c>
      <c r="F8" s="1" t="s">
        <v>327</v>
      </c>
      <c r="I8" s="151" t="s">
        <v>328</v>
      </c>
      <c r="K8" s="1" t="s">
        <v>328</v>
      </c>
      <c r="L8" s="1">
        <f t="shared" si="1"/>
        <v>1</v>
      </c>
    </row>
    <row r="9" spans="1:13">
      <c r="C9" s="92" t="s">
        <v>329</v>
      </c>
      <c r="D9" s="1" t="s">
        <v>330</v>
      </c>
      <c r="F9" s="1" t="s">
        <v>331</v>
      </c>
      <c r="I9" s="151" t="s">
        <v>332</v>
      </c>
      <c r="K9" s="93" t="s">
        <v>332</v>
      </c>
      <c r="L9" s="1">
        <f t="shared" si="1"/>
        <v>0</v>
      </c>
    </row>
    <row r="10" spans="1:13">
      <c r="I10" s="151" t="s">
        <v>333</v>
      </c>
      <c r="K10" s="1" t="s">
        <v>333</v>
      </c>
      <c r="L10" s="1">
        <f t="shared" si="1"/>
        <v>1</v>
      </c>
    </row>
    <row r="11" spans="1:13">
      <c r="I11" s="151" t="s">
        <v>334</v>
      </c>
      <c r="J11" s="1"/>
      <c r="K11" s="1" t="s">
        <v>334</v>
      </c>
      <c r="L11" s="1">
        <f t="shared" si="1"/>
        <v>2</v>
      </c>
    </row>
    <row r="12" spans="1:13">
      <c r="C12" s="94"/>
      <c r="I12" s="151" t="s">
        <v>335</v>
      </c>
      <c r="K12" s="1" t="s">
        <v>335</v>
      </c>
      <c r="L12" s="1">
        <f t="shared" si="1"/>
        <v>1</v>
      </c>
    </row>
    <row r="13" spans="1:13">
      <c r="I13" s="151" t="s">
        <v>336</v>
      </c>
      <c r="K13" s="1" t="s">
        <v>336</v>
      </c>
      <c r="L13" s="1">
        <f t="shared" si="1"/>
        <v>1</v>
      </c>
    </row>
    <row r="14" spans="1:13">
      <c r="I14" s="151" t="s">
        <v>337</v>
      </c>
      <c r="K14" s="93" t="s">
        <v>338</v>
      </c>
      <c r="L14" s="1">
        <f t="shared" si="1"/>
        <v>0</v>
      </c>
      <c r="M14" s="1">
        <v>1</v>
      </c>
    </row>
    <row r="15" spans="1:13">
      <c r="I15" s="151" t="s">
        <v>339</v>
      </c>
      <c r="K15" s="1" t="s">
        <v>339</v>
      </c>
      <c r="L15" s="1">
        <f t="shared" si="1"/>
        <v>1</v>
      </c>
    </row>
    <row r="16" spans="1:13">
      <c r="I16" s="151" t="s">
        <v>340</v>
      </c>
      <c r="K16" s="1" t="s">
        <v>340</v>
      </c>
      <c r="L16" s="1">
        <f t="shared" si="1"/>
        <v>1</v>
      </c>
    </row>
    <row r="17" spans="3:13">
      <c r="I17" s="151" t="s">
        <v>341</v>
      </c>
      <c r="K17" s="1" t="s">
        <v>341</v>
      </c>
      <c r="L17" s="1">
        <f t="shared" si="1"/>
        <v>1</v>
      </c>
    </row>
    <row r="18" spans="3:13">
      <c r="C18" s="1" t="s">
        <v>342</v>
      </c>
      <c r="D18" s="1" t="s">
        <v>343</v>
      </c>
      <c r="F18" s="1" t="s">
        <v>344</v>
      </c>
      <c r="I18" s="151" t="s">
        <v>345</v>
      </c>
      <c r="K18" s="93" t="s">
        <v>345</v>
      </c>
      <c r="L18" s="1">
        <f t="shared" si="1"/>
        <v>0</v>
      </c>
    </row>
    <row r="19" spans="3:13">
      <c r="C19" s="1" t="s">
        <v>346</v>
      </c>
      <c r="D19" s="1" t="s">
        <v>347</v>
      </c>
      <c r="F19" s="1" t="s">
        <v>348</v>
      </c>
      <c r="I19" s="151" t="s">
        <v>349</v>
      </c>
      <c r="K19" s="1" t="s">
        <v>349</v>
      </c>
      <c r="L19" s="1">
        <f t="shared" si="1"/>
        <v>1</v>
      </c>
    </row>
    <row r="20" spans="3:13">
      <c r="C20" s="1" t="s">
        <v>350</v>
      </c>
      <c r="D20" s="1" t="s">
        <v>351</v>
      </c>
      <c r="F20" s="1" t="s">
        <v>352</v>
      </c>
      <c r="I20" s="151" t="s">
        <v>353</v>
      </c>
      <c r="J20" s="1"/>
      <c r="K20" s="93" t="s">
        <v>353</v>
      </c>
      <c r="L20" s="1">
        <f t="shared" si="1"/>
        <v>0</v>
      </c>
    </row>
    <row r="21" spans="3:13">
      <c r="C21" s="1" t="s">
        <v>354</v>
      </c>
      <c r="D21" s="1" t="s">
        <v>324</v>
      </c>
      <c r="F21" s="1" t="s">
        <v>355</v>
      </c>
      <c r="I21" s="151" t="s">
        <v>356</v>
      </c>
      <c r="K21" s="93" t="s">
        <v>356</v>
      </c>
      <c r="L21" s="1">
        <f t="shared" si="1"/>
        <v>0</v>
      </c>
    </row>
    <row r="22" spans="3:13">
      <c r="C22" s="51" t="s">
        <v>357</v>
      </c>
      <c r="D22" s="51" t="s">
        <v>320</v>
      </c>
      <c r="F22" s="1" t="s">
        <v>358</v>
      </c>
      <c r="I22" s="151" t="s">
        <v>353</v>
      </c>
      <c r="K22" s="1" t="s">
        <v>359</v>
      </c>
      <c r="L22" s="1">
        <f t="shared" si="1"/>
        <v>1</v>
      </c>
    </row>
    <row r="23" spans="3:13">
      <c r="C23" s="51" t="s">
        <v>360</v>
      </c>
      <c r="D23" s="51" t="s">
        <v>328</v>
      </c>
      <c r="E23" s="1" t="s">
        <v>361</v>
      </c>
      <c r="F23" s="1" t="s">
        <v>362</v>
      </c>
      <c r="I23" s="151" t="s">
        <v>356</v>
      </c>
      <c r="J23" s="1"/>
      <c r="K23" s="1" t="s">
        <v>363</v>
      </c>
      <c r="L23" s="1">
        <f t="shared" si="1"/>
        <v>1</v>
      </c>
    </row>
    <row r="24" spans="3:13">
      <c r="C24" s="51" t="s">
        <v>364</v>
      </c>
      <c r="D24" s="51" t="s">
        <v>365</v>
      </c>
      <c r="F24" s="1" t="s">
        <v>366</v>
      </c>
      <c r="I24" s="151" t="s">
        <v>359</v>
      </c>
      <c r="K24" s="1" t="s">
        <v>367</v>
      </c>
      <c r="L24" s="1">
        <f t="shared" si="1"/>
        <v>1</v>
      </c>
    </row>
    <row r="25" spans="3:13">
      <c r="C25" s="1" t="s">
        <v>368</v>
      </c>
      <c r="D25" s="1" t="s">
        <v>335</v>
      </c>
      <c r="F25" s="1" t="s">
        <v>369</v>
      </c>
      <c r="I25" s="151" t="s">
        <v>363</v>
      </c>
      <c r="K25" s="1" t="s">
        <v>347</v>
      </c>
      <c r="L25" s="1">
        <f t="shared" si="1"/>
        <v>1</v>
      </c>
    </row>
    <row r="26" spans="3:13">
      <c r="C26" s="1" t="s">
        <v>370</v>
      </c>
      <c r="D26" s="1" t="s">
        <v>371</v>
      </c>
      <c r="F26" s="1" t="s">
        <v>372</v>
      </c>
      <c r="I26" s="151" t="s">
        <v>367</v>
      </c>
      <c r="K26" s="1" t="s">
        <v>351</v>
      </c>
      <c r="L26" s="1">
        <f t="shared" si="1"/>
        <v>1</v>
      </c>
    </row>
    <row r="27" spans="3:13">
      <c r="C27" s="1" t="s">
        <v>373</v>
      </c>
      <c r="D27" s="1" t="s">
        <v>374</v>
      </c>
      <c r="F27" s="1" t="s">
        <v>375</v>
      </c>
      <c r="I27" s="151" t="s">
        <v>347</v>
      </c>
      <c r="K27" s="1" t="s">
        <v>376</v>
      </c>
      <c r="L27" s="1">
        <f t="shared" si="1"/>
        <v>1</v>
      </c>
    </row>
    <row r="28" spans="3:13">
      <c r="C28" s="1" t="s">
        <v>377</v>
      </c>
      <c r="D28" s="1" t="s">
        <v>378</v>
      </c>
      <c r="F28" s="1" t="s">
        <v>379</v>
      </c>
      <c r="I28" s="151" t="s">
        <v>351</v>
      </c>
      <c r="J28" s="1"/>
      <c r="K28" s="1" t="s">
        <v>371</v>
      </c>
      <c r="L28" s="1">
        <f t="shared" si="1"/>
        <v>1</v>
      </c>
    </row>
    <row r="29" spans="3:13">
      <c r="C29" s="1" t="s">
        <v>380</v>
      </c>
      <c r="D29" s="1" t="s">
        <v>381</v>
      </c>
      <c r="F29" s="1" t="s">
        <v>382</v>
      </c>
      <c r="I29" s="151" t="s">
        <v>349</v>
      </c>
      <c r="K29" s="1" t="s">
        <v>365</v>
      </c>
      <c r="L29" s="1">
        <f t="shared" si="1"/>
        <v>1</v>
      </c>
    </row>
    <row r="30" spans="3:13">
      <c r="C30" s="1" t="s">
        <v>383</v>
      </c>
      <c r="D30" s="1" t="s">
        <v>384</v>
      </c>
      <c r="F30" s="1" t="s">
        <v>385</v>
      </c>
      <c r="I30" s="151" t="s">
        <v>376</v>
      </c>
      <c r="K30" s="93" t="s">
        <v>386</v>
      </c>
      <c r="L30" s="1">
        <f t="shared" si="1"/>
        <v>0</v>
      </c>
      <c r="M30" s="1">
        <v>1</v>
      </c>
    </row>
    <row r="31" spans="3:13">
      <c r="C31" s="1" t="s">
        <v>387</v>
      </c>
      <c r="D31" s="1" t="s">
        <v>388</v>
      </c>
      <c r="F31" s="1" t="s">
        <v>389</v>
      </c>
      <c r="I31" s="151" t="s">
        <v>371</v>
      </c>
      <c r="J31" s="1"/>
      <c r="K31" s="1" t="s">
        <v>390</v>
      </c>
      <c r="L31" s="1">
        <f t="shared" si="1"/>
        <v>0</v>
      </c>
    </row>
    <row r="32" spans="3:13">
      <c r="C32" s="1" t="s">
        <v>391</v>
      </c>
      <c r="D32" s="1" t="s">
        <v>392</v>
      </c>
      <c r="I32" s="151" t="s">
        <v>365</v>
      </c>
      <c r="K32" s="1" t="s">
        <v>343</v>
      </c>
      <c r="L32" s="1">
        <f t="shared" si="1"/>
        <v>1</v>
      </c>
    </row>
    <row r="33" spans="2:12">
      <c r="C33" s="1" t="s">
        <v>393</v>
      </c>
      <c r="D33" s="1" t="s">
        <v>394</v>
      </c>
      <c r="F33" s="1" t="s">
        <v>395</v>
      </c>
      <c r="I33" s="151" t="s">
        <v>386</v>
      </c>
      <c r="K33" s="1" t="s">
        <v>374</v>
      </c>
      <c r="L33" s="1">
        <f t="shared" si="1"/>
        <v>1</v>
      </c>
    </row>
    <row r="34" spans="2:12">
      <c r="C34" s="1" t="s">
        <v>396</v>
      </c>
      <c r="D34" s="1" t="s">
        <v>397</v>
      </c>
      <c r="F34" s="1" t="s">
        <v>398</v>
      </c>
      <c r="I34" s="151" t="s">
        <v>335</v>
      </c>
      <c r="K34" s="1" t="s">
        <v>399</v>
      </c>
      <c r="L34" s="1">
        <f t="shared" si="1"/>
        <v>1</v>
      </c>
    </row>
    <row r="35" spans="2:12">
      <c r="C35" s="1" t="s">
        <v>400</v>
      </c>
      <c r="D35" s="1" t="s">
        <v>401</v>
      </c>
      <c r="F35" s="1" t="s">
        <v>402</v>
      </c>
      <c r="I35" s="151" t="s">
        <v>336</v>
      </c>
      <c r="J35" s="1"/>
      <c r="K35" s="93" t="s">
        <v>403</v>
      </c>
      <c r="L35" s="1">
        <f t="shared" si="1"/>
        <v>0</v>
      </c>
    </row>
    <row r="36" spans="2:12">
      <c r="C36" s="1" t="s">
        <v>404</v>
      </c>
      <c r="D36" s="1" t="s">
        <v>405</v>
      </c>
      <c r="F36" s="1" t="s">
        <v>406</v>
      </c>
      <c r="I36" s="151" t="s">
        <v>340</v>
      </c>
      <c r="K36" s="93" t="s">
        <v>407</v>
      </c>
      <c r="L36" s="1">
        <f t="shared" si="1"/>
        <v>0</v>
      </c>
    </row>
    <row r="37" spans="2:12">
      <c r="C37" s="1" t="s">
        <v>408</v>
      </c>
      <c r="D37" s="1" t="s">
        <v>409</v>
      </c>
      <c r="F37" s="1" t="s">
        <v>410</v>
      </c>
      <c r="I37" s="151" t="s">
        <v>390</v>
      </c>
      <c r="K37" s="93" t="s">
        <v>411</v>
      </c>
      <c r="L37" s="1">
        <f t="shared" si="1"/>
        <v>0</v>
      </c>
    </row>
    <row r="38" spans="2:12">
      <c r="C38" s="1" t="s">
        <v>412</v>
      </c>
      <c r="D38" s="1" t="s">
        <v>413</v>
      </c>
      <c r="F38" s="1" t="s">
        <v>414</v>
      </c>
      <c r="I38" s="151" t="s">
        <v>363</v>
      </c>
      <c r="J38" s="1"/>
      <c r="K38" s="93" t="s">
        <v>415</v>
      </c>
      <c r="L38" s="1">
        <f t="shared" si="1"/>
        <v>0</v>
      </c>
    </row>
    <row r="39" spans="2:12">
      <c r="C39" s="1" t="s">
        <v>416</v>
      </c>
      <c r="D39" s="1" t="s">
        <v>417</v>
      </c>
      <c r="I39" s="151" t="s">
        <v>367</v>
      </c>
      <c r="J39" s="1"/>
      <c r="K39" s="1" t="s">
        <v>418</v>
      </c>
      <c r="L39" s="1">
        <f t="shared" si="1"/>
        <v>0</v>
      </c>
    </row>
    <row r="40" spans="2:12">
      <c r="C40" s="1" t="s">
        <v>419</v>
      </c>
      <c r="D40" s="1" t="s">
        <v>420</v>
      </c>
      <c r="I40" s="151" t="s">
        <v>343</v>
      </c>
      <c r="J40" s="1"/>
      <c r="K40" s="93" t="s">
        <v>421</v>
      </c>
      <c r="L40" s="1">
        <f t="shared" si="1"/>
        <v>0</v>
      </c>
    </row>
    <row r="41" spans="2:12">
      <c r="C41" s="1" t="s">
        <v>422</v>
      </c>
      <c r="D41" s="1" t="s">
        <v>363</v>
      </c>
      <c r="F41" s="1" t="s">
        <v>423</v>
      </c>
      <c r="I41" s="151" t="s">
        <v>374</v>
      </c>
      <c r="J41" s="1"/>
      <c r="K41" s="93" t="s">
        <v>424</v>
      </c>
      <c r="L41" s="1">
        <f t="shared" si="1"/>
        <v>0</v>
      </c>
    </row>
    <row r="42" spans="2:12">
      <c r="C42" s="1" t="s">
        <v>425</v>
      </c>
      <c r="D42" s="1" t="s">
        <v>426</v>
      </c>
      <c r="F42" s="1" t="s">
        <v>427</v>
      </c>
      <c r="I42" s="151" t="s">
        <v>339</v>
      </c>
      <c r="J42" s="1"/>
      <c r="K42" s="1" t="s">
        <v>428</v>
      </c>
      <c r="L42" s="1">
        <f t="shared" si="1"/>
        <v>1</v>
      </c>
    </row>
    <row r="43" spans="2:12">
      <c r="B43" s="1" t="s">
        <v>429</v>
      </c>
      <c r="C43" s="1" t="s">
        <v>430</v>
      </c>
      <c r="D43" s="1" t="s">
        <v>336</v>
      </c>
      <c r="I43" s="151" t="s">
        <v>340</v>
      </c>
      <c r="K43" s="1" t="s">
        <v>431</v>
      </c>
      <c r="L43" s="1">
        <f t="shared" si="1"/>
        <v>1</v>
      </c>
    </row>
    <row r="44" spans="2:12">
      <c r="C44" s="1" t="s">
        <v>432</v>
      </c>
      <c r="D44" s="95" t="s">
        <v>349</v>
      </c>
      <c r="I44" s="151" t="s">
        <v>351</v>
      </c>
      <c r="K44" s="1" t="s">
        <v>433</v>
      </c>
      <c r="L44" s="1">
        <f t="shared" si="1"/>
        <v>0</v>
      </c>
    </row>
    <row r="45" spans="2:12">
      <c r="C45" s="1" t="s">
        <v>434</v>
      </c>
      <c r="D45" s="1" t="s">
        <v>340</v>
      </c>
      <c r="F45" s="1" t="s">
        <v>435</v>
      </c>
      <c r="I45" s="151" t="s">
        <v>376</v>
      </c>
      <c r="K45" s="1" t="s">
        <v>436</v>
      </c>
      <c r="L45" s="1">
        <f t="shared" si="1"/>
        <v>0</v>
      </c>
    </row>
    <row r="46" spans="2:12">
      <c r="C46" s="1" t="s">
        <v>437</v>
      </c>
      <c r="D46" s="95" t="s">
        <v>341</v>
      </c>
      <c r="I46" s="151" t="s">
        <v>371</v>
      </c>
      <c r="K46" s="1" t="s">
        <v>438</v>
      </c>
      <c r="L46" s="1">
        <f t="shared" si="1"/>
        <v>1</v>
      </c>
    </row>
    <row r="47" spans="2:12">
      <c r="C47" s="1" t="s">
        <v>439</v>
      </c>
      <c r="D47" s="1" t="s">
        <v>440</v>
      </c>
      <c r="F47" s="1" t="s">
        <v>441</v>
      </c>
      <c r="I47" s="151" t="s">
        <v>336</v>
      </c>
      <c r="K47" s="1" t="s">
        <v>442</v>
      </c>
      <c r="L47" s="1">
        <f t="shared" si="1"/>
        <v>1</v>
      </c>
    </row>
    <row r="48" spans="2:12">
      <c r="C48" s="1" t="s">
        <v>443</v>
      </c>
      <c r="D48" s="1" t="s">
        <v>444</v>
      </c>
      <c r="F48" s="1" t="s">
        <v>445</v>
      </c>
      <c r="I48" s="151" t="s">
        <v>365</v>
      </c>
      <c r="J48" s="1"/>
      <c r="K48" s="1" t="s">
        <v>446</v>
      </c>
      <c r="L48" s="1">
        <f t="shared" si="1"/>
        <v>1</v>
      </c>
    </row>
    <row r="49" spans="2:12">
      <c r="I49" s="151" t="s">
        <v>447</v>
      </c>
      <c r="K49" s="1" t="s">
        <v>426</v>
      </c>
      <c r="L49" s="1">
        <f t="shared" si="1"/>
        <v>1</v>
      </c>
    </row>
    <row r="50" spans="2:12">
      <c r="I50" s="151" t="s">
        <v>335</v>
      </c>
      <c r="K50" s="1" t="s">
        <v>448</v>
      </c>
      <c r="L50" s="1">
        <f t="shared" si="1"/>
        <v>0</v>
      </c>
    </row>
    <row r="51" spans="2:12">
      <c r="I51" s="151" t="s">
        <v>399</v>
      </c>
      <c r="K51" s="1" t="s">
        <v>449</v>
      </c>
      <c r="L51" s="1">
        <f t="shared" si="1"/>
        <v>0</v>
      </c>
    </row>
    <row r="52" spans="2:12">
      <c r="B52" s="1" t="s">
        <v>450</v>
      </c>
      <c r="C52" s="1" t="s">
        <v>451</v>
      </c>
      <c r="D52" s="1" t="s">
        <v>452</v>
      </c>
      <c r="F52" s="1" t="s">
        <v>453</v>
      </c>
      <c r="I52" s="151" t="s">
        <v>403</v>
      </c>
      <c r="J52" s="1"/>
      <c r="K52" s="1" t="s">
        <v>454</v>
      </c>
      <c r="L52" s="1">
        <f t="shared" si="1"/>
        <v>0</v>
      </c>
    </row>
    <row r="53" spans="2:12">
      <c r="C53" s="1" t="s">
        <v>455</v>
      </c>
      <c r="D53" s="1" t="s">
        <v>456</v>
      </c>
      <c r="F53" s="1" t="s">
        <v>457</v>
      </c>
      <c r="I53" s="151" t="s">
        <v>353</v>
      </c>
      <c r="J53" s="1"/>
      <c r="K53" s="1" t="s">
        <v>458</v>
      </c>
      <c r="L53" s="1">
        <f t="shared" si="1"/>
        <v>0</v>
      </c>
    </row>
    <row r="54" spans="2:12">
      <c r="C54" s="1" t="s">
        <v>459</v>
      </c>
      <c r="D54" s="1" t="s">
        <v>460</v>
      </c>
      <c r="F54" s="1" t="s">
        <v>461</v>
      </c>
      <c r="I54" s="151" t="s">
        <v>407</v>
      </c>
      <c r="K54" s="1" t="s">
        <v>462</v>
      </c>
      <c r="L54" s="1">
        <f t="shared" si="1"/>
        <v>0</v>
      </c>
    </row>
    <row r="55" spans="2:12">
      <c r="C55" s="1" t="s">
        <v>463</v>
      </c>
      <c r="D55" s="1" t="s">
        <v>464</v>
      </c>
      <c r="F55" s="1" t="s">
        <v>465</v>
      </c>
      <c r="I55" s="151" t="s">
        <v>356</v>
      </c>
      <c r="K55" s="1" t="s">
        <v>466</v>
      </c>
      <c r="L55" s="1">
        <f t="shared" si="1"/>
        <v>0</v>
      </c>
    </row>
    <row r="56" spans="2:12">
      <c r="C56" s="92" t="s">
        <v>467</v>
      </c>
      <c r="D56" s="1" t="s">
        <v>468</v>
      </c>
      <c r="F56" s="1" t="s">
        <v>469</v>
      </c>
      <c r="I56" s="151" t="s">
        <v>399</v>
      </c>
      <c r="K56" s="1" t="s">
        <v>470</v>
      </c>
      <c r="L56" s="1">
        <f t="shared" si="1"/>
        <v>0</v>
      </c>
    </row>
    <row r="57" spans="2:12">
      <c r="C57" s="92" t="s">
        <v>471</v>
      </c>
      <c r="D57" s="1" t="s">
        <v>472</v>
      </c>
      <c r="F57" s="1" t="s">
        <v>473</v>
      </c>
      <c r="I57" s="151" t="s">
        <v>403</v>
      </c>
      <c r="K57" s="1" t="s">
        <v>474</v>
      </c>
      <c r="L57" s="1">
        <f t="shared" si="1"/>
        <v>0</v>
      </c>
    </row>
    <row r="58" spans="2:12">
      <c r="C58" s="92" t="s">
        <v>475</v>
      </c>
      <c r="D58" s="1" t="s">
        <v>476</v>
      </c>
      <c r="I58" s="151" t="s">
        <v>353</v>
      </c>
      <c r="K58" s="1" t="s">
        <v>477</v>
      </c>
      <c r="L58" s="1">
        <f t="shared" si="1"/>
        <v>0</v>
      </c>
    </row>
    <row r="59" spans="2:12">
      <c r="C59" s="1" t="s">
        <v>478</v>
      </c>
      <c r="D59" s="1" t="s">
        <v>479</v>
      </c>
      <c r="I59" s="151" t="s">
        <v>363</v>
      </c>
      <c r="K59" s="1" t="s">
        <v>480</v>
      </c>
      <c r="L59" s="1">
        <f t="shared" si="1"/>
        <v>0</v>
      </c>
    </row>
    <row r="60" spans="2:12">
      <c r="C60" s="1" t="s">
        <v>481</v>
      </c>
      <c r="I60" s="151" t="s">
        <v>367</v>
      </c>
      <c r="K60" s="96" t="s">
        <v>482</v>
      </c>
      <c r="L60" s="1">
        <f t="shared" si="1"/>
        <v>0</v>
      </c>
    </row>
    <row r="61" spans="2:12">
      <c r="I61" s="151" t="s">
        <v>399</v>
      </c>
      <c r="K61" s="1" t="s">
        <v>483</v>
      </c>
      <c r="L61" s="1">
        <f t="shared" si="1"/>
        <v>1</v>
      </c>
    </row>
    <row r="62" spans="2:12">
      <c r="B62" s="51"/>
      <c r="C62" s="2" t="s">
        <v>484</v>
      </c>
      <c r="D62" s="2" t="s">
        <v>485</v>
      </c>
      <c r="E62" s="51"/>
      <c r="F62" s="51"/>
      <c r="G62" s="51"/>
      <c r="I62" s="151" t="s">
        <v>403</v>
      </c>
      <c r="K62" s="1" t="s">
        <v>486</v>
      </c>
      <c r="L62" s="1">
        <f t="shared" si="1"/>
        <v>0</v>
      </c>
    </row>
    <row r="63" spans="2:12">
      <c r="B63" s="51" t="s">
        <v>487</v>
      </c>
      <c r="C63" s="2" t="s">
        <v>488</v>
      </c>
      <c r="D63" s="2" t="s">
        <v>489</v>
      </c>
      <c r="E63" s="51"/>
      <c r="F63" s="51"/>
      <c r="G63" s="51"/>
      <c r="I63" s="151" t="s">
        <v>353</v>
      </c>
      <c r="K63" s="1" t="s">
        <v>490</v>
      </c>
      <c r="L63" s="1">
        <f t="shared" si="1"/>
        <v>0</v>
      </c>
    </row>
    <row r="64" spans="2:12">
      <c r="B64" s="51"/>
      <c r="C64" s="2" t="s">
        <v>491</v>
      </c>
      <c r="D64" s="2" t="s">
        <v>492</v>
      </c>
      <c r="E64" s="51"/>
      <c r="F64" s="51"/>
      <c r="G64" s="51"/>
      <c r="I64" s="151" t="s">
        <v>407</v>
      </c>
      <c r="K64" s="1" t="s">
        <v>493</v>
      </c>
      <c r="L64" s="1">
        <f t="shared" si="1"/>
        <v>0</v>
      </c>
    </row>
    <row r="65" spans="2:12">
      <c r="B65" s="51"/>
      <c r="C65" s="2" t="s">
        <v>494</v>
      </c>
      <c r="D65" s="2" t="s">
        <v>495</v>
      </c>
      <c r="E65" s="51"/>
      <c r="F65" s="51"/>
      <c r="G65" s="51"/>
      <c r="I65" s="151" t="s">
        <v>356</v>
      </c>
      <c r="K65" s="1" t="s">
        <v>496</v>
      </c>
      <c r="L65" s="1">
        <f t="shared" si="1"/>
        <v>0</v>
      </c>
    </row>
    <row r="66" spans="2:12">
      <c r="B66" s="51"/>
      <c r="C66" s="2" t="s">
        <v>497</v>
      </c>
      <c r="D66" s="2" t="s">
        <v>498</v>
      </c>
      <c r="E66" s="51"/>
      <c r="F66" s="51"/>
      <c r="G66" s="51"/>
      <c r="I66" s="151" t="s">
        <v>399</v>
      </c>
      <c r="K66" s="1" t="s">
        <v>489</v>
      </c>
      <c r="L66" s="1">
        <f t="shared" si="1"/>
        <v>1</v>
      </c>
    </row>
    <row r="67" spans="2:12">
      <c r="B67" s="51"/>
      <c r="C67" s="2" t="s">
        <v>499</v>
      </c>
      <c r="D67" s="2" t="s">
        <v>500</v>
      </c>
      <c r="E67" s="51"/>
      <c r="F67" s="51"/>
      <c r="G67" s="51"/>
      <c r="I67" s="151" t="s">
        <v>403</v>
      </c>
      <c r="K67" s="1" t="s">
        <v>492</v>
      </c>
      <c r="L67" s="1">
        <f t="shared" si="1"/>
        <v>1</v>
      </c>
    </row>
    <row r="68" spans="2:12">
      <c r="B68" s="51"/>
      <c r="C68" s="2" t="s">
        <v>501</v>
      </c>
      <c r="D68" s="2" t="s">
        <v>502</v>
      </c>
      <c r="E68" s="51"/>
      <c r="F68" s="51"/>
      <c r="G68" s="51"/>
      <c r="I68" s="151" t="s">
        <v>353</v>
      </c>
      <c r="K68" s="1" t="s">
        <v>495</v>
      </c>
      <c r="L68" s="1">
        <f t="shared" si="1"/>
        <v>1</v>
      </c>
    </row>
    <row r="69" spans="2:12">
      <c r="B69" s="51"/>
      <c r="C69" s="2" t="s">
        <v>503</v>
      </c>
      <c r="D69" s="2" t="s">
        <v>504</v>
      </c>
      <c r="E69" s="51"/>
      <c r="F69" s="51"/>
      <c r="G69" s="51"/>
      <c r="I69" s="151" t="s">
        <v>407</v>
      </c>
      <c r="K69" s="1" t="s">
        <v>498</v>
      </c>
      <c r="L69" s="1">
        <f t="shared" si="1"/>
        <v>1</v>
      </c>
    </row>
    <row r="70" spans="2:12">
      <c r="B70" s="51"/>
      <c r="C70" s="2" t="s">
        <v>505</v>
      </c>
      <c r="D70" s="2" t="s">
        <v>506</v>
      </c>
      <c r="E70" s="51"/>
      <c r="F70" s="51"/>
      <c r="G70" s="51"/>
      <c r="I70" s="151" t="s">
        <v>356</v>
      </c>
      <c r="K70" s="1" t="s">
        <v>500</v>
      </c>
      <c r="L70" s="1">
        <f t="shared" si="1"/>
        <v>1</v>
      </c>
    </row>
    <row r="71" spans="2:12">
      <c r="B71" s="51"/>
      <c r="C71" s="2" t="s">
        <v>507</v>
      </c>
      <c r="D71" s="2" t="s">
        <v>438</v>
      </c>
      <c r="E71" s="51"/>
      <c r="F71" s="51"/>
      <c r="G71" s="51"/>
      <c r="I71" s="151" t="s">
        <v>351</v>
      </c>
      <c r="K71" s="1" t="s">
        <v>502</v>
      </c>
      <c r="L71" s="1">
        <f t="shared" si="1"/>
        <v>1</v>
      </c>
    </row>
    <row r="72" spans="2:12">
      <c r="B72" s="51"/>
      <c r="C72" s="51"/>
      <c r="D72" s="51"/>
      <c r="E72" s="51"/>
      <c r="F72" s="51"/>
      <c r="G72" s="51"/>
      <c r="I72" s="151" t="s">
        <v>371</v>
      </c>
      <c r="K72" s="1" t="s">
        <v>504</v>
      </c>
      <c r="L72" s="1">
        <f t="shared" si="1"/>
        <v>1</v>
      </c>
    </row>
    <row r="73" spans="2:12">
      <c r="B73" s="51" t="s">
        <v>508</v>
      </c>
      <c r="C73" s="51" t="s">
        <v>509</v>
      </c>
      <c r="D73" s="2" t="s">
        <v>510</v>
      </c>
      <c r="E73" s="51"/>
      <c r="F73" s="51"/>
      <c r="G73" s="51"/>
      <c r="I73" s="151" t="s">
        <v>376</v>
      </c>
      <c r="K73" s="1" t="s">
        <v>506</v>
      </c>
      <c r="L73" s="1">
        <f t="shared" si="1"/>
        <v>1</v>
      </c>
    </row>
    <row r="74" spans="2:12">
      <c r="B74" s="51"/>
      <c r="C74" s="2" t="s">
        <v>511</v>
      </c>
      <c r="D74" s="2" t="s">
        <v>359</v>
      </c>
      <c r="E74" s="51"/>
      <c r="F74" s="51"/>
      <c r="G74" s="51"/>
      <c r="I74" s="151" t="s">
        <v>336</v>
      </c>
      <c r="K74" s="1" t="s">
        <v>512</v>
      </c>
      <c r="L74" s="1">
        <f t="shared" si="1"/>
        <v>0</v>
      </c>
    </row>
    <row r="75" spans="2:12">
      <c r="B75" s="51"/>
      <c r="C75" s="2" t="s">
        <v>513</v>
      </c>
      <c r="D75" s="2" t="s">
        <v>514</v>
      </c>
      <c r="E75" s="51"/>
      <c r="F75" s="51"/>
      <c r="G75" s="51"/>
      <c r="I75" s="151" t="s">
        <v>347</v>
      </c>
      <c r="K75" s="1" t="s">
        <v>515</v>
      </c>
      <c r="L75" s="1">
        <f t="shared" si="1"/>
        <v>0</v>
      </c>
    </row>
    <row r="76" spans="2:12">
      <c r="B76" s="51"/>
      <c r="C76" s="2" t="s">
        <v>516</v>
      </c>
      <c r="D76" s="2" t="s">
        <v>517</v>
      </c>
      <c r="E76" s="51"/>
      <c r="F76" s="51"/>
      <c r="G76" s="51"/>
      <c r="I76" s="151" t="s">
        <v>324</v>
      </c>
      <c r="K76" s="1" t="s">
        <v>518</v>
      </c>
      <c r="L76" s="1">
        <f t="shared" si="1"/>
        <v>0</v>
      </c>
    </row>
    <row r="77" spans="2:12">
      <c r="B77" s="51"/>
      <c r="C77" s="2" t="s">
        <v>519</v>
      </c>
      <c r="D77" s="2" t="s">
        <v>520</v>
      </c>
      <c r="E77" s="51"/>
      <c r="F77" s="51"/>
      <c r="G77" s="51"/>
      <c r="I77" s="151" t="s">
        <v>340</v>
      </c>
      <c r="K77" s="1" t="s">
        <v>521</v>
      </c>
      <c r="L77" s="1">
        <f t="shared" si="1"/>
        <v>0</v>
      </c>
    </row>
    <row r="78" spans="2:12">
      <c r="B78" s="51"/>
      <c r="C78" s="2" t="s">
        <v>522</v>
      </c>
      <c r="D78" s="2" t="s">
        <v>523</v>
      </c>
      <c r="E78" s="51"/>
      <c r="F78" s="51"/>
      <c r="G78" s="51"/>
      <c r="I78" s="151" t="s">
        <v>403</v>
      </c>
      <c r="K78" s="1" t="s">
        <v>524</v>
      </c>
      <c r="L78" s="1">
        <f t="shared" si="1"/>
        <v>0</v>
      </c>
    </row>
    <row r="79" spans="2:12">
      <c r="B79" s="51"/>
      <c r="C79" s="51"/>
      <c r="D79" s="51"/>
      <c r="E79" s="51"/>
      <c r="F79" s="51"/>
      <c r="G79" s="51"/>
      <c r="I79" s="151" t="s">
        <v>407</v>
      </c>
      <c r="K79" s="1" t="s">
        <v>525</v>
      </c>
      <c r="L79" s="1">
        <f t="shared" si="1"/>
        <v>0</v>
      </c>
    </row>
    <row r="80" spans="2:12">
      <c r="B80" s="51"/>
      <c r="C80" s="51"/>
      <c r="D80" s="51"/>
      <c r="E80" s="51"/>
      <c r="F80" s="51"/>
      <c r="G80" s="51"/>
      <c r="I80" s="151" t="s">
        <v>356</v>
      </c>
      <c r="K80" s="1" t="s">
        <v>514</v>
      </c>
      <c r="L80" s="1">
        <f t="shared" si="1"/>
        <v>1</v>
      </c>
    </row>
    <row r="81" spans="2:12">
      <c r="B81" s="51"/>
      <c r="C81" s="97" t="s">
        <v>526</v>
      </c>
      <c r="D81" s="98">
        <v>1</v>
      </c>
      <c r="E81" s="98">
        <v>2</v>
      </c>
      <c r="F81" s="98">
        <v>3</v>
      </c>
      <c r="G81" s="99">
        <v>4</v>
      </c>
      <c r="I81" s="151" t="s">
        <v>411</v>
      </c>
      <c r="K81" s="1" t="s">
        <v>517</v>
      </c>
      <c r="L81" s="1">
        <f t="shared" si="1"/>
        <v>1</v>
      </c>
    </row>
    <row r="82" spans="2:12">
      <c r="B82" s="51"/>
      <c r="C82" s="97" t="s">
        <v>527</v>
      </c>
      <c r="D82" s="100" t="s">
        <v>528</v>
      </c>
      <c r="E82" s="405" t="s">
        <v>529</v>
      </c>
      <c r="F82" s="405" t="s">
        <v>530</v>
      </c>
      <c r="G82" s="406" t="s">
        <v>531</v>
      </c>
      <c r="I82" s="151" t="s">
        <v>415</v>
      </c>
      <c r="K82" s="1" t="s">
        <v>520</v>
      </c>
      <c r="L82" s="1">
        <f t="shared" si="1"/>
        <v>1</v>
      </c>
    </row>
    <row r="83" spans="2:12">
      <c r="B83" s="51"/>
      <c r="C83" s="101" t="s">
        <v>532</v>
      </c>
      <c r="D83" s="102" t="s">
        <v>334</v>
      </c>
      <c r="E83" s="407"/>
      <c r="F83" s="407"/>
      <c r="G83" s="408"/>
      <c r="I83" s="151" t="s">
        <v>316</v>
      </c>
      <c r="K83" s="1" t="s">
        <v>523</v>
      </c>
      <c r="L83" s="1">
        <f t="shared" si="1"/>
        <v>1</v>
      </c>
    </row>
    <row r="84" spans="2:12">
      <c r="B84" s="51"/>
      <c r="C84" s="101" t="s">
        <v>533</v>
      </c>
      <c r="D84" s="103"/>
      <c r="E84" s="409"/>
      <c r="F84" s="409"/>
      <c r="G84" s="410"/>
      <c r="I84" s="151" t="s">
        <v>418</v>
      </c>
      <c r="K84" s="1" t="s">
        <v>510</v>
      </c>
      <c r="L84" s="1">
        <f t="shared" si="1"/>
        <v>1</v>
      </c>
    </row>
    <row r="85" spans="2:12">
      <c r="B85" s="51"/>
      <c r="C85" s="101" t="s">
        <v>534</v>
      </c>
      <c r="D85" s="103" t="s">
        <v>68</v>
      </c>
      <c r="E85" s="104" t="s">
        <v>443</v>
      </c>
      <c r="F85" s="103" t="s">
        <v>68</v>
      </c>
      <c r="G85" s="105" t="s">
        <v>535</v>
      </c>
      <c r="I85" s="151" t="s">
        <v>421</v>
      </c>
      <c r="K85" s="1" t="s">
        <v>536</v>
      </c>
      <c r="L85" s="1">
        <f t="shared" si="1"/>
        <v>0</v>
      </c>
    </row>
    <row r="86" spans="2:12">
      <c r="B86" s="51"/>
      <c r="C86" s="101"/>
      <c r="D86" s="103" t="s">
        <v>537</v>
      </c>
      <c r="E86" s="104"/>
      <c r="F86" s="103" t="s">
        <v>538</v>
      </c>
      <c r="G86" s="106"/>
      <c r="I86" s="151" t="s">
        <v>424</v>
      </c>
      <c r="K86" s="1" t="s">
        <v>539</v>
      </c>
      <c r="L86" s="1">
        <f t="shared" si="1"/>
        <v>1</v>
      </c>
    </row>
    <row r="87" spans="2:12">
      <c r="B87" s="51"/>
      <c r="C87" s="101"/>
      <c r="D87" s="103"/>
      <c r="E87" s="104"/>
      <c r="F87" s="103" t="s">
        <v>540</v>
      </c>
      <c r="G87" s="106"/>
      <c r="I87" s="151" t="s">
        <v>335</v>
      </c>
      <c r="K87" s="1" t="s">
        <v>541</v>
      </c>
      <c r="L87" s="1">
        <f t="shared" si="1"/>
        <v>1</v>
      </c>
    </row>
    <row r="88" spans="2:12">
      <c r="B88" s="51"/>
      <c r="C88" s="101"/>
      <c r="D88" s="103" t="s">
        <v>542</v>
      </c>
      <c r="E88" s="104"/>
      <c r="F88" s="103" t="s">
        <v>537</v>
      </c>
      <c r="G88" s="106"/>
      <c r="I88" s="151" t="s">
        <v>336</v>
      </c>
      <c r="K88" s="1" t="s">
        <v>543</v>
      </c>
      <c r="L88" s="1">
        <f t="shared" si="1"/>
        <v>1</v>
      </c>
    </row>
    <row r="89" spans="2:12">
      <c r="B89" s="51"/>
      <c r="C89" s="101"/>
      <c r="D89" s="103"/>
      <c r="E89" s="104"/>
      <c r="F89" s="103" t="s">
        <v>544</v>
      </c>
      <c r="G89" s="106"/>
      <c r="I89" s="151" t="s">
        <v>371</v>
      </c>
      <c r="K89" s="1" t="s">
        <v>545</v>
      </c>
      <c r="L89" s="1">
        <f t="shared" si="1"/>
        <v>0</v>
      </c>
    </row>
    <row r="90" spans="2:12">
      <c r="B90" s="51"/>
      <c r="C90" s="101"/>
      <c r="D90" s="103"/>
      <c r="E90" s="104"/>
      <c r="F90" s="103" t="s">
        <v>546</v>
      </c>
      <c r="G90" s="106"/>
      <c r="I90" s="151" t="s">
        <v>428</v>
      </c>
      <c r="K90" s="1" t="s">
        <v>547</v>
      </c>
      <c r="L90" s="1">
        <f t="shared" si="1"/>
        <v>0</v>
      </c>
    </row>
    <row r="91" spans="2:12">
      <c r="B91" s="51"/>
      <c r="C91" s="107"/>
      <c r="D91" s="108"/>
      <c r="E91" s="109"/>
      <c r="F91" s="108" t="s">
        <v>548</v>
      </c>
      <c r="G91" s="110"/>
      <c r="I91" s="151" t="s">
        <v>341</v>
      </c>
      <c r="K91" s="1" t="s">
        <v>549</v>
      </c>
      <c r="L91" s="1">
        <f t="shared" si="1"/>
        <v>0</v>
      </c>
    </row>
    <row r="92" spans="2:12">
      <c r="B92" s="51"/>
      <c r="C92" s="107"/>
      <c r="D92" s="108"/>
      <c r="E92" s="109"/>
      <c r="F92" s="108" t="s">
        <v>550</v>
      </c>
      <c r="G92" s="110"/>
      <c r="I92" s="151" t="s">
        <v>345</v>
      </c>
      <c r="K92" s="1" t="s">
        <v>551</v>
      </c>
      <c r="L92" s="1">
        <f t="shared" si="1"/>
        <v>0</v>
      </c>
    </row>
    <row r="93" spans="2:12">
      <c r="B93" s="51"/>
      <c r="C93" s="107" t="s">
        <v>65</v>
      </c>
      <c r="D93" s="111" t="s">
        <v>552</v>
      </c>
      <c r="E93" s="108"/>
      <c r="F93" s="109"/>
      <c r="G93" s="112" t="s">
        <v>553</v>
      </c>
      <c r="I93" s="151" t="s">
        <v>339</v>
      </c>
      <c r="K93" s="1" t="s">
        <v>554</v>
      </c>
      <c r="L93" s="1">
        <f t="shared" si="1"/>
        <v>0</v>
      </c>
    </row>
    <row r="94" spans="2:12">
      <c r="B94" s="51"/>
      <c r="C94" s="51"/>
      <c r="D94" s="51"/>
      <c r="E94" s="51"/>
      <c r="F94" s="51"/>
      <c r="G94" s="51" t="s">
        <v>555</v>
      </c>
      <c r="I94" s="151" t="s">
        <v>349</v>
      </c>
      <c r="K94" s="1" t="s">
        <v>556</v>
      </c>
      <c r="L94" s="1">
        <f t="shared" si="1"/>
        <v>0</v>
      </c>
    </row>
    <row r="95" spans="2:12">
      <c r="I95" s="151" t="s">
        <v>365</v>
      </c>
      <c r="K95" s="1" t="s">
        <v>557</v>
      </c>
      <c r="L95" s="1">
        <f t="shared" si="1"/>
        <v>0</v>
      </c>
    </row>
    <row r="96" spans="2:12">
      <c r="C96" s="113" t="s">
        <v>558</v>
      </c>
      <c r="D96" s="113" t="s">
        <v>559</v>
      </c>
      <c r="E96" s="114" t="s">
        <v>560</v>
      </c>
      <c r="I96" s="151" t="s">
        <v>340</v>
      </c>
      <c r="K96" s="1" t="s">
        <v>561</v>
      </c>
      <c r="L96" s="1">
        <f t="shared" si="1"/>
        <v>0</v>
      </c>
    </row>
    <row r="97" spans="2:12">
      <c r="C97" s="113" t="s">
        <v>562</v>
      </c>
      <c r="D97" s="113" t="s">
        <v>563</v>
      </c>
      <c r="I97" s="151" t="s">
        <v>431</v>
      </c>
      <c r="K97" s="1" t="s">
        <v>564</v>
      </c>
      <c r="L97" s="1">
        <f t="shared" si="1"/>
        <v>0</v>
      </c>
    </row>
    <row r="98" spans="2:12">
      <c r="C98" s="1" t="s">
        <v>565</v>
      </c>
      <c r="D98" s="1" t="s">
        <v>431</v>
      </c>
      <c r="E98" s="115" t="s">
        <v>566</v>
      </c>
      <c r="I98" s="151" t="s">
        <v>567</v>
      </c>
      <c r="K98" s="1" t="s">
        <v>568</v>
      </c>
      <c r="L98" s="1">
        <f t="shared" si="1"/>
        <v>0</v>
      </c>
    </row>
    <row r="99" spans="2:12">
      <c r="C99" s="1" t="s">
        <v>569</v>
      </c>
      <c r="D99" s="1" t="s">
        <v>333</v>
      </c>
      <c r="I99" s="151" t="s">
        <v>333</v>
      </c>
      <c r="K99" s="1" t="s">
        <v>570</v>
      </c>
      <c r="L99" s="1">
        <f t="shared" si="1"/>
        <v>0</v>
      </c>
    </row>
    <row r="100" spans="2:12">
      <c r="C100" s="1" t="s">
        <v>571</v>
      </c>
      <c r="D100" s="1" t="s">
        <v>334</v>
      </c>
      <c r="I100" s="151" t="s">
        <v>334</v>
      </c>
      <c r="K100" s="1" t="s">
        <v>572</v>
      </c>
      <c r="L100" s="1">
        <f t="shared" si="1"/>
        <v>0</v>
      </c>
    </row>
    <row r="101" spans="2:12">
      <c r="C101" s="1"/>
      <c r="D101" s="1"/>
      <c r="I101" s="151" t="s">
        <v>436</v>
      </c>
      <c r="K101" s="1" t="s">
        <v>573</v>
      </c>
      <c r="L101" s="1">
        <f t="shared" si="1"/>
        <v>0</v>
      </c>
    </row>
    <row r="102" spans="2:12">
      <c r="C102" s="1" t="s">
        <v>574</v>
      </c>
      <c r="D102" s="1" t="s">
        <v>575</v>
      </c>
      <c r="E102" s="1" t="s">
        <v>576</v>
      </c>
      <c r="I102" s="151" t="s">
        <v>351</v>
      </c>
      <c r="K102" s="1" t="s">
        <v>577</v>
      </c>
      <c r="L102" s="1">
        <f t="shared" si="1"/>
        <v>0</v>
      </c>
    </row>
    <row r="103" spans="2:12">
      <c r="C103" s="1" t="s">
        <v>578</v>
      </c>
      <c r="D103" s="1" t="s">
        <v>579</v>
      </c>
      <c r="E103" s="1" t="s">
        <v>580</v>
      </c>
      <c r="I103" s="151" t="s">
        <v>376</v>
      </c>
      <c r="K103" s="1" t="s">
        <v>581</v>
      </c>
      <c r="L103" s="1">
        <f t="shared" si="1"/>
        <v>0</v>
      </c>
    </row>
    <row r="104" spans="2:12">
      <c r="C104" s="1" t="s">
        <v>582</v>
      </c>
      <c r="D104" s="1" t="s">
        <v>428</v>
      </c>
      <c r="E104" s="1" t="s">
        <v>583</v>
      </c>
      <c r="I104" s="151" t="s">
        <v>365</v>
      </c>
      <c r="K104" s="1" t="s">
        <v>584</v>
      </c>
      <c r="L104" s="1">
        <f t="shared" si="1"/>
        <v>0</v>
      </c>
    </row>
    <row r="105" spans="2:12">
      <c r="C105" s="1" t="s">
        <v>585</v>
      </c>
      <c r="D105" s="1" t="s">
        <v>376</v>
      </c>
      <c r="E105" s="1" t="s">
        <v>586</v>
      </c>
      <c r="I105" s="151" t="s">
        <v>587</v>
      </c>
      <c r="K105" s="1" t="s">
        <v>588</v>
      </c>
      <c r="L105" s="1">
        <f t="shared" si="1"/>
        <v>0</v>
      </c>
    </row>
    <row r="106" spans="2:12">
      <c r="I106" s="151" t="s">
        <v>335</v>
      </c>
      <c r="K106" s="1" t="s">
        <v>589</v>
      </c>
      <c r="L106" s="1">
        <f t="shared" si="1"/>
        <v>0</v>
      </c>
    </row>
    <row r="107" spans="2:12">
      <c r="B107" s="116">
        <v>45503</v>
      </c>
      <c r="C107" s="1" t="s">
        <v>590</v>
      </c>
      <c r="D107" s="115" t="s">
        <v>591</v>
      </c>
      <c r="I107" s="151" t="s">
        <v>336</v>
      </c>
      <c r="K107" s="1" t="s">
        <v>592</v>
      </c>
      <c r="L107" s="1">
        <f t="shared" si="1"/>
        <v>0</v>
      </c>
    </row>
    <row r="108" spans="2:12">
      <c r="B108" s="117" t="s">
        <v>101</v>
      </c>
      <c r="C108" s="1" t="s">
        <v>593</v>
      </c>
      <c r="D108" s="115" t="s">
        <v>594</v>
      </c>
      <c r="I108" s="151" t="s">
        <v>438</v>
      </c>
      <c r="K108" s="1" t="s">
        <v>595</v>
      </c>
      <c r="L108" s="1">
        <f t="shared" si="1"/>
        <v>0</v>
      </c>
    </row>
    <row r="109" spans="2:12">
      <c r="C109" s="1" t="s">
        <v>596</v>
      </c>
      <c r="D109" s="115" t="s">
        <v>597</v>
      </c>
      <c r="I109" s="151" t="s">
        <v>403</v>
      </c>
      <c r="K109" s="1" t="s">
        <v>598</v>
      </c>
      <c r="L109" s="1">
        <f t="shared" si="1"/>
        <v>0</v>
      </c>
    </row>
    <row r="110" spans="2:12">
      <c r="C110" s="118" t="s">
        <v>599</v>
      </c>
      <c r="D110" s="115" t="s">
        <v>600</v>
      </c>
      <c r="I110" s="151" t="s">
        <v>399</v>
      </c>
      <c r="K110" s="1" t="s">
        <v>601</v>
      </c>
      <c r="L110" s="1">
        <f t="shared" si="1"/>
        <v>0</v>
      </c>
    </row>
    <row r="111" spans="2:12">
      <c r="C111" s="119" t="s">
        <v>602</v>
      </c>
      <c r="D111" s="115" t="s">
        <v>603</v>
      </c>
      <c r="I111" s="151" t="s">
        <v>353</v>
      </c>
      <c r="K111" s="1" t="s">
        <v>604</v>
      </c>
      <c r="L111" s="1">
        <f t="shared" si="1"/>
        <v>0</v>
      </c>
    </row>
    <row r="112" spans="2:12">
      <c r="C112" s="120" t="s">
        <v>605</v>
      </c>
      <c r="D112" s="113" t="s">
        <v>606</v>
      </c>
      <c r="I112" s="151" t="s">
        <v>442</v>
      </c>
      <c r="K112" s="1" t="s">
        <v>607</v>
      </c>
      <c r="L112" s="1">
        <f t="shared" si="1"/>
        <v>0</v>
      </c>
    </row>
    <row r="113" spans="2:12">
      <c r="C113" s="121" t="s">
        <v>608</v>
      </c>
      <c r="D113" s="113" t="s">
        <v>609</v>
      </c>
      <c r="I113" s="151" t="s">
        <v>407</v>
      </c>
      <c r="K113" s="1" t="s">
        <v>610</v>
      </c>
      <c r="L113" s="1">
        <f t="shared" si="1"/>
        <v>0</v>
      </c>
    </row>
    <row r="114" spans="2:12">
      <c r="C114" s="122" t="s">
        <v>611</v>
      </c>
      <c r="D114" s="56" t="s">
        <v>612</v>
      </c>
      <c r="I114" s="151" t="s">
        <v>356</v>
      </c>
      <c r="K114" s="1" t="s">
        <v>613</v>
      </c>
      <c r="L114" s="1">
        <f t="shared" si="1"/>
        <v>0</v>
      </c>
    </row>
    <row r="115" spans="2:12">
      <c r="C115" s="122" t="s">
        <v>614</v>
      </c>
      <c r="D115" s="56" t="s">
        <v>615</v>
      </c>
      <c r="I115" s="151" t="s">
        <v>446</v>
      </c>
      <c r="K115" s="1" t="s">
        <v>616</v>
      </c>
      <c r="L115" s="1">
        <f t="shared" si="1"/>
        <v>0</v>
      </c>
    </row>
    <row r="116" spans="2:12">
      <c r="C116" s="122" t="s">
        <v>617</v>
      </c>
      <c r="D116" s="115" t="s">
        <v>618</v>
      </c>
      <c r="I116" s="151" t="s">
        <v>415</v>
      </c>
      <c r="K116" s="1" t="s">
        <v>619</v>
      </c>
      <c r="L116" s="1">
        <f t="shared" si="1"/>
        <v>0</v>
      </c>
    </row>
    <row r="117" spans="2:12">
      <c r="D117" s="115"/>
      <c r="I117" s="151" t="s">
        <v>363</v>
      </c>
      <c r="K117" s="1" t="s">
        <v>620</v>
      </c>
      <c r="L117" s="1">
        <f t="shared" si="1"/>
        <v>0</v>
      </c>
    </row>
    <row r="118" spans="2:12">
      <c r="B118" s="123">
        <v>45505</v>
      </c>
      <c r="C118" s="51" t="s">
        <v>621</v>
      </c>
      <c r="D118" s="2" t="s">
        <v>541</v>
      </c>
      <c r="E118" s="51" t="s">
        <v>622</v>
      </c>
      <c r="I118" s="151" t="s">
        <v>367</v>
      </c>
    </row>
    <row r="119" spans="2:12">
      <c r="B119" s="124" t="s">
        <v>101</v>
      </c>
      <c r="C119" s="51" t="s">
        <v>623</v>
      </c>
      <c r="D119" s="2" t="s">
        <v>543</v>
      </c>
      <c r="E119" s="51" t="s">
        <v>622</v>
      </c>
      <c r="I119" s="151" t="s">
        <v>426</v>
      </c>
    </row>
    <row r="120" spans="2:12">
      <c r="B120" s="51"/>
      <c r="C120" s="51"/>
      <c r="D120" s="2"/>
      <c r="E120" s="51"/>
      <c r="I120" s="125" t="s">
        <v>624</v>
      </c>
    </row>
    <row r="121" spans="2:12">
      <c r="B121" s="123">
        <v>45509</v>
      </c>
      <c r="C121" s="51" t="s">
        <v>625</v>
      </c>
      <c r="D121" s="2" t="s">
        <v>339</v>
      </c>
      <c r="E121" s="51"/>
      <c r="I121" s="151" t="s">
        <v>449</v>
      </c>
    </row>
    <row r="122" spans="2:12">
      <c r="B122" s="124" t="s">
        <v>101</v>
      </c>
      <c r="C122" s="51"/>
      <c r="D122" s="51"/>
      <c r="E122" s="51"/>
      <c r="I122" s="151" t="s">
        <v>454</v>
      </c>
    </row>
    <row r="123" spans="2:12">
      <c r="I123" s="151" t="s">
        <v>626</v>
      </c>
    </row>
    <row r="124" spans="2:12">
      <c r="B124" s="126">
        <v>45511</v>
      </c>
      <c r="C124" s="1" t="s">
        <v>627</v>
      </c>
      <c r="D124" s="115" t="s">
        <v>483</v>
      </c>
      <c r="I124" s="151" t="s">
        <v>351</v>
      </c>
    </row>
    <row r="125" spans="2:12">
      <c r="B125" s="117" t="s">
        <v>94</v>
      </c>
      <c r="C125" s="1" t="s">
        <v>628</v>
      </c>
      <c r="D125" s="115" t="s">
        <v>539</v>
      </c>
      <c r="I125" s="151" t="s">
        <v>376</v>
      </c>
    </row>
    <row r="126" spans="2:12">
      <c r="C126" s="1" t="s">
        <v>629</v>
      </c>
      <c r="D126" s="115" t="s">
        <v>399</v>
      </c>
      <c r="I126" s="151" t="s">
        <v>365</v>
      </c>
    </row>
    <row r="127" spans="2:12">
      <c r="C127" s="1" t="s">
        <v>630</v>
      </c>
      <c r="D127" s="115" t="s">
        <v>367</v>
      </c>
      <c r="I127" s="151" t="s">
        <v>587</v>
      </c>
    </row>
    <row r="128" spans="2:12">
      <c r="C128" s="1" t="s">
        <v>631</v>
      </c>
      <c r="D128" s="115" t="s">
        <v>632</v>
      </c>
      <c r="I128" s="151" t="s">
        <v>335</v>
      </c>
    </row>
    <row r="129" spans="1:13">
      <c r="C129" s="1" t="s">
        <v>633</v>
      </c>
      <c r="D129" s="115" t="s">
        <v>634</v>
      </c>
      <c r="E129" s="1" t="s">
        <v>635</v>
      </c>
      <c r="F129" s="1" t="s">
        <v>636</v>
      </c>
      <c r="I129" s="151" t="s">
        <v>336</v>
      </c>
    </row>
    <row r="130" spans="1:13">
      <c r="C130" s="1" t="s">
        <v>637</v>
      </c>
      <c r="D130" s="115" t="s">
        <v>442</v>
      </c>
      <c r="I130" s="151" t="s">
        <v>438</v>
      </c>
    </row>
    <row r="131" spans="1:13">
      <c r="C131" s="1" t="s">
        <v>638</v>
      </c>
      <c r="D131" s="115" t="s">
        <v>639</v>
      </c>
      <c r="I131" s="151" t="s">
        <v>403</v>
      </c>
    </row>
    <row r="132" spans="1:13">
      <c r="C132" s="1" t="s">
        <v>640</v>
      </c>
      <c r="D132" s="115" t="s">
        <v>641</v>
      </c>
      <c r="E132" s="1" t="s">
        <v>642</v>
      </c>
      <c r="I132" s="151" t="s">
        <v>399</v>
      </c>
    </row>
    <row r="133" spans="1:13">
      <c r="C133" s="1" t="s">
        <v>643</v>
      </c>
      <c r="D133" s="115" t="s">
        <v>446</v>
      </c>
      <c r="I133" s="151" t="s">
        <v>353</v>
      </c>
    </row>
    <row r="134" spans="1:13">
      <c r="C134" s="1" t="s">
        <v>644</v>
      </c>
      <c r="D134" s="115" t="s">
        <v>645</v>
      </c>
      <c r="I134" s="151" t="s">
        <v>442</v>
      </c>
    </row>
    <row r="135" spans="1:13">
      <c r="C135" s="1" t="s">
        <v>646</v>
      </c>
      <c r="D135" s="115" t="s">
        <v>647</v>
      </c>
      <c r="I135" s="151" t="s">
        <v>407</v>
      </c>
    </row>
    <row r="136" spans="1:13">
      <c r="C136" s="1" t="s">
        <v>648</v>
      </c>
      <c r="D136" s="115" t="s">
        <v>649</v>
      </c>
      <c r="E136" s="3" t="s">
        <v>650</v>
      </c>
      <c r="F136" s="1" t="s">
        <v>651</v>
      </c>
      <c r="I136" s="151" t="s">
        <v>356</v>
      </c>
    </row>
    <row r="137" spans="1:13">
      <c r="C137" s="1" t="s">
        <v>652</v>
      </c>
      <c r="D137" s="115" t="s">
        <v>653</v>
      </c>
      <c r="E137" s="3" t="s">
        <v>654</v>
      </c>
      <c r="I137" s="151" t="s">
        <v>446</v>
      </c>
    </row>
    <row r="138" spans="1:13">
      <c r="I138" s="151" t="s">
        <v>415</v>
      </c>
    </row>
    <row r="139" spans="1:13">
      <c r="A139" s="20"/>
      <c r="B139" s="127">
        <v>45512</v>
      </c>
      <c r="C139" s="22" t="s">
        <v>655</v>
      </c>
      <c r="D139" s="128" t="s">
        <v>656</v>
      </c>
      <c r="E139" s="20"/>
      <c r="F139" s="365" t="s">
        <v>657</v>
      </c>
      <c r="G139" s="22"/>
      <c r="H139" s="20"/>
      <c r="I139" s="151" t="s">
        <v>363</v>
      </c>
      <c r="J139" s="20"/>
      <c r="K139" s="20"/>
      <c r="L139" s="20"/>
      <c r="M139" s="20"/>
    </row>
    <row r="140" spans="1:13">
      <c r="A140" s="20"/>
      <c r="B140" s="129" t="s">
        <v>101</v>
      </c>
      <c r="C140" s="130" t="s">
        <v>658</v>
      </c>
      <c r="D140" s="128" t="s">
        <v>659</v>
      </c>
      <c r="E140" s="20"/>
      <c r="F140" s="404"/>
      <c r="G140" s="22"/>
      <c r="H140" s="20"/>
      <c r="I140" s="151" t="s">
        <v>367</v>
      </c>
      <c r="J140" s="20"/>
      <c r="K140" s="20"/>
      <c r="L140" s="20"/>
      <c r="M140" s="20"/>
    </row>
    <row r="141" spans="1:13">
      <c r="A141" s="20"/>
      <c r="B141" s="22"/>
      <c r="C141" s="22" t="s">
        <v>660</v>
      </c>
      <c r="D141" s="128" t="s">
        <v>661</v>
      </c>
      <c r="E141" s="146" t="s">
        <v>662</v>
      </c>
      <c r="F141" s="404"/>
      <c r="G141" s="22"/>
      <c r="H141" s="20"/>
      <c r="I141" s="151" t="s">
        <v>426</v>
      </c>
      <c r="J141" s="20"/>
      <c r="K141" s="20"/>
      <c r="L141" s="20"/>
      <c r="M141" s="20"/>
    </row>
    <row r="142" spans="1:13">
      <c r="C142" s="364" t="s">
        <v>663</v>
      </c>
      <c r="D142" s="115" t="s">
        <v>664</v>
      </c>
      <c r="E142" s="366" t="s">
        <v>665</v>
      </c>
      <c r="F142" s="404"/>
      <c r="G142" s="22"/>
      <c r="I142" s="125" t="s">
        <v>624</v>
      </c>
    </row>
    <row r="143" spans="1:13">
      <c r="C143" s="404"/>
      <c r="D143" s="115" t="s">
        <v>666</v>
      </c>
      <c r="E143" s="404"/>
      <c r="F143" s="404"/>
      <c r="G143" s="22"/>
      <c r="I143" s="151" t="s">
        <v>449</v>
      </c>
    </row>
    <row r="144" spans="1:13">
      <c r="C144" s="364" t="s">
        <v>667</v>
      </c>
      <c r="D144" s="115" t="s">
        <v>668</v>
      </c>
      <c r="E144" s="404"/>
      <c r="F144" s="404"/>
      <c r="G144" s="22"/>
      <c r="I144" s="151" t="s">
        <v>454</v>
      </c>
    </row>
    <row r="145" spans="2:9">
      <c r="C145" s="404"/>
      <c r="D145" s="115" t="s">
        <v>669</v>
      </c>
      <c r="E145" s="404"/>
      <c r="F145" s="404"/>
      <c r="G145" s="22"/>
      <c r="I145" s="151" t="s">
        <v>626</v>
      </c>
    </row>
    <row r="146" spans="2:9">
      <c r="C146" s="364" t="s">
        <v>670</v>
      </c>
      <c r="D146" s="115" t="s">
        <v>671</v>
      </c>
      <c r="E146" s="404"/>
      <c r="F146" s="404"/>
      <c r="G146" s="22"/>
      <c r="I146" s="151" t="s">
        <v>351</v>
      </c>
    </row>
    <row r="147" spans="2:9">
      <c r="C147" s="404"/>
      <c r="D147" s="115" t="s">
        <v>672</v>
      </c>
      <c r="E147" s="404"/>
      <c r="F147" s="404"/>
      <c r="G147" s="22"/>
      <c r="I147" s="151" t="s">
        <v>376</v>
      </c>
    </row>
    <row r="148" spans="2:9">
      <c r="C148" s="364" t="s">
        <v>673</v>
      </c>
      <c r="D148" s="115" t="s">
        <v>674</v>
      </c>
      <c r="E148" s="404"/>
      <c r="F148" s="404"/>
      <c r="G148" s="22"/>
      <c r="I148" s="151" t="s">
        <v>365</v>
      </c>
    </row>
    <row r="149" spans="2:9">
      <c r="C149" s="404"/>
      <c r="D149" s="115" t="s">
        <v>675</v>
      </c>
      <c r="E149" s="404"/>
      <c r="F149" s="404"/>
      <c r="G149" s="22"/>
      <c r="I149" s="151" t="s">
        <v>587</v>
      </c>
    </row>
    <row r="150" spans="2:9">
      <c r="C150" s="364" t="s">
        <v>676</v>
      </c>
      <c r="D150" s="115" t="s">
        <v>677</v>
      </c>
      <c r="E150" s="404"/>
      <c r="F150" s="404"/>
      <c r="G150" s="22"/>
      <c r="I150" s="151" t="s">
        <v>335</v>
      </c>
    </row>
    <row r="151" spans="2:9">
      <c r="C151" s="404"/>
      <c r="D151" s="115" t="s">
        <v>678</v>
      </c>
      <c r="E151" s="404"/>
      <c r="F151" s="404"/>
      <c r="G151" s="22"/>
      <c r="I151" s="151" t="s">
        <v>336</v>
      </c>
    </row>
    <row r="152" spans="2:9">
      <c r="I152" s="151" t="s">
        <v>438</v>
      </c>
    </row>
    <row r="153" spans="2:9">
      <c r="B153" s="127">
        <v>45513</v>
      </c>
      <c r="C153" s="1" t="s">
        <v>679</v>
      </c>
      <c r="D153" s="115" t="s">
        <v>680</v>
      </c>
      <c r="E153" s="1" t="s">
        <v>681</v>
      </c>
      <c r="I153" s="151" t="s">
        <v>403</v>
      </c>
    </row>
    <row r="154" spans="2:9">
      <c r="B154" s="117" t="s">
        <v>94</v>
      </c>
      <c r="C154" s="131" t="s">
        <v>682</v>
      </c>
      <c r="D154" s="115" t="s">
        <v>683</v>
      </c>
      <c r="I154" s="151" t="s">
        <v>399</v>
      </c>
    </row>
    <row r="155" spans="2:9">
      <c r="I155" s="151" t="s">
        <v>353</v>
      </c>
    </row>
    <row r="156" spans="2:9">
      <c r="B156" s="116">
        <v>45513</v>
      </c>
      <c r="C156" s="1" t="s">
        <v>684</v>
      </c>
      <c r="D156" s="115" t="s">
        <v>685</v>
      </c>
      <c r="I156" s="151" t="s">
        <v>399</v>
      </c>
    </row>
    <row r="157" spans="2:9">
      <c r="B157" s="1" t="s">
        <v>101</v>
      </c>
      <c r="I157" s="151" t="s">
        <v>403</v>
      </c>
    </row>
    <row r="158" spans="2:9">
      <c r="I158" s="151" t="s">
        <v>353</v>
      </c>
    </row>
    <row r="159" spans="2:9">
      <c r="I159" s="151" t="s">
        <v>399</v>
      </c>
    </row>
    <row r="160" spans="2:9">
      <c r="I160" s="151" t="s">
        <v>403</v>
      </c>
    </row>
    <row r="161" spans="9:9">
      <c r="I161" s="151" t="s">
        <v>353</v>
      </c>
    </row>
    <row r="162" spans="9:9">
      <c r="I162" s="151" t="s">
        <v>399</v>
      </c>
    </row>
    <row r="163" spans="9:9">
      <c r="I163" s="151" t="s">
        <v>403</v>
      </c>
    </row>
    <row r="164" spans="9:9">
      <c r="I164" s="151" t="s">
        <v>353</v>
      </c>
    </row>
    <row r="165" spans="9:9">
      <c r="I165" s="151" t="s">
        <v>399</v>
      </c>
    </row>
    <row r="166" spans="9:9">
      <c r="I166" s="151" t="s">
        <v>686</v>
      </c>
    </row>
    <row r="167" spans="9:9">
      <c r="I167" s="151" t="s">
        <v>403</v>
      </c>
    </row>
    <row r="168" spans="9:9">
      <c r="I168" s="151" t="s">
        <v>353</v>
      </c>
    </row>
    <row r="169" spans="9:9">
      <c r="I169" s="151" t="s">
        <v>438</v>
      </c>
    </row>
    <row r="170" spans="9:9">
      <c r="I170" s="151" t="s">
        <v>403</v>
      </c>
    </row>
    <row r="171" spans="9:9">
      <c r="I171" s="151" t="s">
        <v>399</v>
      </c>
    </row>
    <row r="172" spans="9:9">
      <c r="I172" s="151" t="s">
        <v>353</v>
      </c>
    </row>
    <row r="173" spans="9:9">
      <c r="I173" s="151" t="s">
        <v>363</v>
      </c>
    </row>
    <row r="174" spans="9:9">
      <c r="I174" s="151" t="s">
        <v>347</v>
      </c>
    </row>
    <row r="175" spans="9:9">
      <c r="I175" s="151" t="s">
        <v>336</v>
      </c>
    </row>
    <row r="176" spans="9:9">
      <c r="I176" s="151" t="s">
        <v>466</v>
      </c>
    </row>
    <row r="177" spans="9:9">
      <c r="I177" s="151" t="s">
        <v>335</v>
      </c>
    </row>
    <row r="178" spans="9:9">
      <c r="I178" s="151" t="s">
        <v>371</v>
      </c>
    </row>
    <row r="179" spans="9:9">
      <c r="I179" s="151" t="s">
        <v>376</v>
      </c>
    </row>
    <row r="180" spans="9:9">
      <c r="I180" s="151" t="s">
        <v>365</v>
      </c>
    </row>
    <row r="181" spans="9:9">
      <c r="I181" s="151" t="s">
        <v>324</v>
      </c>
    </row>
    <row r="182" spans="9:9">
      <c r="I182" s="151" t="s">
        <v>347</v>
      </c>
    </row>
    <row r="183" spans="9:9">
      <c r="I183" s="151" t="s">
        <v>336</v>
      </c>
    </row>
    <row r="184" spans="9:9">
      <c r="I184" s="151" t="s">
        <v>470</v>
      </c>
    </row>
    <row r="185" spans="9:9">
      <c r="I185" s="151" t="s">
        <v>335</v>
      </c>
    </row>
    <row r="186" spans="9:9">
      <c r="I186" s="151" t="s">
        <v>376</v>
      </c>
    </row>
    <row r="187" spans="9:9">
      <c r="I187" s="151" t="s">
        <v>371</v>
      </c>
    </row>
    <row r="188" spans="9:9">
      <c r="I188" s="151" t="s">
        <v>365</v>
      </c>
    </row>
    <row r="189" spans="9:9">
      <c r="I189" s="151" t="s">
        <v>324</v>
      </c>
    </row>
    <row r="190" spans="9:9">
      <c r="I190" s="151" t="s">
        <v>403</v>
      </c>
    </row>
    <row r="191" spans="9:9">
      <c r="I191" s="151" t="s">
        <v>353</v>
      </c>
    </row>
    <row r="192" spans="9:9">
      <c r="I192" s="151" t="s">
        <v>399</v>
      </c>
    </row>
    <row r="193" spans="9:9">
      <c r="I193" s="151" t="s">
        <v>347</v>
      </c>
    </row>
    <row r="194" spans="9:9">
      <c r="I194" s="151" t="s">
        <v>336</v>
      </c>
    </row>
    <row r="195" spans="9:9">
      <c r="I195" s="151" t="s">
        <v>470</v>
      </c>
    </row>
    <row r="196" spans="9:9">
      <c r="I196" s="151" t="s">
        <v>335</v>
      </c>
    </row>
    <row r="197" spans="9:9">
      <c r="I197" s="151" t="s">
        <v>376</v>
      </c>
    </row>
    <row r="198" spans="9:9">
      <c r="I198" s="151" t="s">
        <v>371</v>
      </c>
    </row>
    <row r="199" spans="9:9">
      <c r="I199" s="151" t="s">
        <v>365</v>
      </c>
    </row>
    <row r="200" spans="9:9">
      <c r="I200" s="151" t="s">
        <v>324</v>
      </c>
    </row>
    <row r="201" spans="9:9">
      <c r="I201" s="151" t="s">
        <v>403</v>
      </c>
    </row>
    <row r="202" spans="9:9">
      <c r="I202" s="151" t="s">
        <v>353</v>
      </c>
    </row>
    <row r="203" spans="9:9">
      <c r="I203" s="151" t="s">
        <v>407</v>
      </c>
    </row>
    <row r="204" spans="9:9">
      <c r="I204" s="151" t="s">
        <v>356</v>
      </c>
    </row>
    <row r="205" spans="9:9">
      <c r="I205" s="151" t="s">
        <v>399</v>
      </c>
    </row>
    <row r="206" spans="9:9">
      <c r="I206" s="151" t="s">
        <v>403</v>
      </c>
    </row>
    <row r="207" spans="9:9">
      <c r="I207" s="151" t="s">
        <v>353</v>
      </c>
    </row>
    <row r="208" spans="9:9">
      <c r="I208" s="152" t="s">
        <v>399</v>
      </c>
    </row>
    <row r="209" spans="9:9">
      <c r="I209" s="152" t="s">
        <v>403</v>
      </c>
    </row>
    <row r="210" spans="9:9">
      <c r="I210" s="152" t="s">
        <v>353</v>
      </c>
    </row>
    <row r="211" spans="9:9">
      <c r="I211" s="152" t="s">
        <v>474</v>
      </c>
    </row>
    <row r="212" spans="9:9">
      <c r="I212" s="152" t="s">
        <v>477</v>
      </c>
    </row>
    <row r="213" spans="9:9">
      <c r="I213" s="152" t="s">
        <v>480</v>
      </c>
    </row>
    <row r="214" spans="9:9">
      <c r="I214" s="152" t="s">
        <v>477</v>
      </c>
    </row>
    <row r="215" spans="9:9">
      <c r="I215" s="153" t="s">
        <v>347</v>
      </c>
    </row>
    <row r="216" spans="9:9">
      <c r="I216" s="153" t="s">
        <v>336</v>
      </c>
    </row>
    <row r="217" spans="9:9">
      <c r="I217" s="153" t="s">
        <v>335</v>
      </c>
    </row>
    <row r="218" spans="9:9">
      <c r="I218" s="153" t="s">
        <v>390</v>
      </c>
    </row>
    <row r="219" spans="9:9">
      <c r="I219" s="153" t="s">
        <v>340</v>
      </c>
    </row>
    <row r="220" spans="9:9">
      <c r="I220" s="153" t="s">
        <v>482</v>
      </c>
    </row>
    <row r="221" spans="9:9">
      <c r="I221" s="151" t="s">
        <v>335</v>
      </c>
    </row>
    <row r="222" spans="9:9">
      <c r="I222" s="151" t="s">
        <v>483</v>
      </c>
    </row>
    <row r="223" spans="9:9">
      <c r="I223" s="151" t="s">
        <v>403</v>
      </c>
    </row>
    <row r="224" spans="9:9">
      <c r="I224" s="151" t="s">
        <v>353</v>
      </c>
    </row>
    <row r="225" spans="9:9">
      <c r="I225" s="151" t="s">
        <v>407</v>
      </c>
    </row>
    <row r="226" spans="9:9">
      <c r="I226" s="151" t="s">
        <v>356</v>
      </c>
    </row>
    <row r="227" spans="9:9">
      <c r="I227" s="151" t="s">
        <v>411</v>
      </c>
    </row>
    <row r="228" spans="9:9">
      <c r="I228" s="151" t="s">
        <v>415</v>
      </c>
    </row>
    <row r="229" spans="9:9">
      <c r="I229" s="151" t="s">
        <v>486</v>
      </c>
    </row>
    <row r="230" spans="9:9">
      <c r="I230" s="151" t="s">
        <v>490</v>
      </c>
    </row>
    <row r="231" spans="9:9">
      <c r="I231" s="151" t="s">
        <v>493</v>
      </c>
    </row>
    <row r="232" spans="9:9">
      <c r="I232" s="151" t="s">
        <v>496</v>
      </c>
    </row>
    <row r="233" spans="9:9">
      <c r="I233" s="151" t="s">
        <v>367</v>
      </c>
    </row>
    <row r="234" spans="9:9">
      <c r="I234" s="151" t="s">
        <v>363</v>
      </c>
    </row>
    <row r="235" spans="9:9">
      <c r="I235" s="151" t="s">
        <v>399</v>
      </c>
    </row>
    <row r="236" spans="9:9">
      <c r="I236" s="151" t="s">
        <v>489</v>
      </c>
    </row>
    <row r="237" spans="9:9">
      <c r="I237" s="151" t="s">
        <v>492</v>
      </c>
    </row>
    <row r="238" spans="9:9">
      <c r="I238" s="151" t="s">
        <v>495</v>
      </c>
    </row>
    <row r="239" spans="9:9">
      <c r="I239" s="151" t="s">
        <v>498</v>
      </c>
    </row>
    <row r="240" spans="9:9">
      <c r="I240" s="151" t="s">
        <v>500</v>
      </c>
    </row>
    <row r="241" spans="9:9">
      <c r="I241" s="151" t="s">
        <v>502</v>
      </c>
    </row>
    <row r="242" spans="9:9">
      <c r="I242" s="151" t="s">
        <v>504</v>
      </c>
    </row>
    <row r="243" spans="9:9">
      <c r="I243" s="151" t="s">
        <v>506</v>
      </c>
    </row>
    <row r="244" spans="9:9">
      <c r="I244" s="151" t="s">
        <v>687</v>
      </c>
    </row>
    <row r="245" spans="9:9">
      <c r="I245" s="151" t="s">
        <v>515</v>
      </c>
    </row>
    <row r="246" spans="9:9">
      <c r="I246" s="151" t="s">
        <v>688</v>
      </c>
    </row>
    <row r="247" spans="9:9">
      <c r="I247" s="154" t="s">
        <v>521</v>
      </c>
    </row>
    <row r="248" spans="9:9">
      <c r="I248" s="154" t="s">
        <v>689</v>
      </c>
    </row>
    <row r="249" spans="9:9">
      <c r="I249" s="154" t="s">
        <v>525</v>
      </c>
    </row>
    <row r="250" spans="9:9">
      <c r="I250" s="151" t="s">
        <v>403</v>
      </c>
    </row>
    <row r="251" spans="9:9">
      <c r="I251" s="151" t="s">
        <v>403</v>
      </c>
    </row>
    <row r="252" spans="9:9">
      <c r="I252" s="151" t="s">
        <v>403</v>
      </c>
    </row>
    <row r="253" spans="9:9">
      <c r="I253" s="153" t="s">
        <v>390</v>
      </c>
    </row>
    <row r="254" spans="9:9">
      <c r="I254" s="151" t="s">
        <v>403</v>
      </c>
    </row>
    <row r="255" spans="9:9">
      <c r="I255" s="151" t="s">
        <v>483</v>
      </c>
    </row>
    <row r="256" spans="9:9">
      <c r="I256" s="132" t="s">
        <v>359</v>
      </c>
    </row>
    <row r="257" spans="9:9">
      <c r="I257" s="132" t="s">
        <v>514</v>
      </c>
    </row>
    <row r="258" spans="9:9">
      <c r="I258" s="132" t="s">
        <v>517</v>
      </c>
    </row>
    <row r="259" spans="9:9">
      <c r="I259" s="132" t="s">
        <v>520</v>
      </c>
    </row>
    <row r="260" spans="9:9">
      <c r="I260" s="132" t="s">
        <v>523</v>
      </c>
    </row>
    <row r="261" spans="9:9">
      <c r="I261" s="132" t="s">
        <v>339</v>
      </c>
    </row>
    <row r="262" spans="9:9">
      <c r="I262" s="151" t="s">
        <v>438</v>
      </c>
    </row>
    <row r="263" spans="9:9">
      <c r="I263" s="151" t="s">
        <v>403</v>
      </c>
    </row>
    <row r="264" spans="9:9">
      <c r="I264" s="151" t="s">
        <v>399</v>
      </c>
    </row>
    <row r="265" spans="9:9">
      <c r="I265" s="151" t="s">
        <v>353</v>
      </c>
    </row>
    <row r="266" spans="9:9">
      <c r="I266" s="151" t="s">
        <v>490</v>
      </c>
    </row>
    <row r="267" spans="9:9">
      <c r="I267" s="151" t="s">
        <v>496</v>
      </c>
    </row>
    <row r="268" spans="9:9">
      <c r="I268" s="151" t="s">
        <v>415</v>
      </c>
    </row>
    <row r="269" spans="9:9">
      <c r="I269" s="151" t="s">
        <v>510</v>
      </c>
    </row>
    <row r="270" spans="9:9">
      <c r="I270" s="151" t="s">
        <v>442</v>
      </c>
    </row>
    <row r="271" spans="9:9">
      <c r="I271" s="151" t="s">
        <v>356</v>
      </c>
    </row>
    <row r="272" spans="9:9">
      <c r="I272" s="151" t="s">
        <v>446</v>
      </c>
    </row>
    <row r="273" spans="9:9">
      <c r="I273" s="151" t="s">
        <v>363</v>
      </c>
    </row>
    <row r="274" spans="9:9">
      <c r="I274" s="125" t="s">
        <v>624</v>
      </c>
    </row>
    <row r="275" spans="9:9">
      <c r="I275" s="151" t="s">
        <v>449</v>
      </c>
    </row>
    <row r="276" spans="9:9">
      <c r="I276" s="151" t="s">
        <v>454</v>
      </c>
    </row>
    <row r="277" spans="9:9">
      <c r="I277" s="151" t="s">
        <v>449</v>
      </c>
    </row>
    <row r="278" spans="9:9">
      <c r="I278" s="151" t="s">
        <v>454</v>
      </c>
    </row>
    <row r="279" spans="9:9">
      <c r="I279" s="151" t="s">
        <v>483</v>
      </c>
    </row>
    <row r="280" spans="9:9">
      <c r="I280" s="151" t="s">
        <v>351</v>
      </c>
    </row>
    <row r="281" spans="9:9">
      <c r="I281" s="151" t="s">
        <v>690</v>
      </c>
    </row>
    <row r="282" spans="9:9">
      <c r="I282" s="151" t="s">
        <v>324</v>
      </c>
    </row>
    <row r="283" spans="9:9">
      <c r="I283" s="151" t="s">
        <v>328</v>
      </c>
    </row>
    <row r="284" spans="9:9">
      <c r="I284" s="151" t="s">
        <v>335</v>
      </c>
    </row>
    <row r="285" spans="9:9">
      <c r="I285" s="151" t="s">
        <v>336</v>
      </c>
    </row>
    <row r="286" spans="9:9">
      <c r="I286" s="151" t="s">
        <v>371</v>
      </c>
    </row>
    <row r="287" spans="9:9">
      <c r="I287" s="151" t="s">
        <v>374</v>
      </c>
    </row>
    <row r="288" spans="9:9">
      <c r="I288" s="133" t="s">
        <v>390</v>
      </c>
    </row>
    <row r="289" spans="9:9">
      <c r="I289" s="151" t="s">
        <v>431</v>
      </c>
    </row>
    <row r="290" spans="9:9">
      <c r="I290" s="151" t="s">
        <v>340</v>
      </c>
    </row>
    <row r="291" spans="9:9">
      <c r="I291" s="151" t="s">
        <v>539</v>
      </c>
    </row>
    <row r="292" spans="9:9">
      <c r="I292" s="151" t="s">
        <v>341</v>
      </c>
    </row>
    <row r="293" spans="9:9">
      <c r="I293" s="151" t="s">
        <v>438</v>
      </c>
    </row>
    <row r="294" spans="9:9">
      <c r="I294" s="151" t="s">
        <v>399</v>
      </c>
    </row>
    <row r="295" spans="9:9">
      <c r="I295" s="151" t="s">
        <v>442</v>
      </c>
    </row>
    <row r="296" spans="9:9">
      <c r="I296" s="151" t="s">
        <v>541</v>
      </c>
    </row>
    <row r="297" spans="9:9">
      <c r="I297" s="151" t="s">
        <v>543</v>
      </c>
    </row>
    <row r="298" spans="9:9">
      <c r="I298" s="151" t="s">
        <v>356</v>
      </c>
    </row>
    <row r="299" spans="9:9">
      <c r="I299" s="151" t="s">
        <v>446</v>
      </c>
    </row>
    <row r="300" spans="9:9">
      <c r="I300" s="151" t="s">
        <v>691</v>
      </c>
    </row>
    <row r="301" spans="9:9">
      <c r="I301" s="151" t="s">
        <v>340</v>
      </c>
    </row>
    <row r="302" spans="9:9">
      <c r="I302" s="151" t="s">
        <v>365</v>
      </c>
    </row>
    <row r="303" spans="9:9">
      <c r="I303" s="151" t="s">
        <v>483</v>
      </c>
    </row>
    <row r="304" spans="9:9">
      <c r="I304" s="151" t="s">
        <v>324</v>
      </c>
    </row>
    <row r="305" spans="9:9">
      <c r="I305" s="151" t="s">
        <v>374</v>
      </c>
    </row>
    <row r="306" spans="9:9">
      <c r="I306" s="151" t="s">
        <v>340</v>
      </c>
    </row>
    <row r="307" spans="9:9">
      <c r="I307" s="151" t="s">
        <v>692</v>
      </c>
    </row>
    <row r="308" spans="9:9">
      <c r="I308" s="151" t="s">
        <v>341</v>
      </c>
    </row>
    <row r="309" spans="9:9">
      <c r="I309" s="151" t="s">
        <v>438</v>
      </c>
    </row>
    <row r="310" spans="9:9">
      <c r="I310" s="151" t="s">
        <v>399</v>
      </c>
    </row>
    <row r="311" spans="9:9">
      <c r="I311" s="151" t="s">
        <v>353</v>
      </c>
    </row>
    <row r="312" spans="9:9">
      <c r="I312" s="125" t="s">
        <v>624</v>
      </c>
    </row>
    <row r="313" spans="9:9">
      <c r="I313" s="151" t="s">
        <v>438</v>
      </c>
    </row>
    <row r="314" spans="9:9">
      <c r="I314" s="151" t="s">
        <v>399</v>
      </c>
    </row>
    <row r="315" spans="9:9">
      <c r="I315" s="151" t="s">
        <v>353</v>
      </c>
    </row>
    <row r="316" spans="9:9">
      <c r="I316" s="125" t="s">
        <v>624</v>
      </c>
    </row>
    <row r="317" spans="9:9">
      <c r="I317" s="151" t="s">
        <v>438</v>
      </c>
    </row>
    <row r="318" spans="9:9">
      <c r="I318" s="151" t="s">
        <v>399</v>
      </c>
    </row>
    <row r="319" spans="9:9">
      <c r="I319" s="151" t="s">
        <v>353</v>
      </c>
    </row>
    <row r="320" spans="9:9">
      <c r="I320" s="125" t="s">
        <v>624</v>
      </c>
    </row>
    <row r="321" spans="9:9">
      <c r="I321" s="151" t="s">
        <v>438</v>
      </c>
    </row>
    <row r="322" spans="9:9">
      <c r="I322" s="151" t="s">
        <v>399</v>
      </c>
    </row>
    <row r="323" spans="9:9">
      <c r="I323" s="151" t="s">
        <v>353</v>
      </c>
    </row>
    <row r="324" spans="9:9">
      <c r="I324" s="151" t="s">
        <v>340</v>
      </c>
    </row>
    <row r="325" spans="9:9">
      <c r="I325" s="151" t="s">
        <v>324</v>
      </c>
    </row>
    <row r="326" spans="9:9">
      <c r="I326" s="151" t="s">
        <v>692</v>
      </c>
    </row>
    <row r="327" spans="9:9">
      <c r="I327" s="151" t="s">
        <v>438</v>
      </c>
    </row>
    <row r="328" spans="9:9">
      <c r="I328" s="151" t="s">
        <v>399</v>
      </c>
    </row>
    <row r="329" spans="9:9">
      <c r="I329" s="151" t="s">
        <v>353</v>
      </c>
    </row>
    <row r="330" spans="9:9">
      <c r="I330" s="125" t="s">
        <v>624</v>
      </c>
    </row>
    <row r="331" spans="9:9">
      <c r="I331" s="151" t="s">
        <v>347</v>
      </c>
    </row>
    <row r="332" spans="9:9">
      <c r="I332" s="151" t="s">
        <v>336</v>
      </c>
    </row>
    <row r="333" spans="9:9">
      <c r="I333" s="151" t="s">
        <v>351</v>
      </c>
    </row>
    <row r="334" spans="9:9">
      <c r="I334" s="151" t="s">
        <v>328</v>
      </c>
    </row>
    <row r="335" spans="9:9">
      <c r="I335" s="151" t="s">
        <v>320</v>
      </c>
    </row>
    <row r="336" spans="9:9">
      <c r="I336" s="151" t="s">
        <v>365</v>
      </c>
    </row>
    <row r="337" spans="9:9">
      <c r="I337" s="151" t="s">
        <v>324</v>
      </c>
    </row>
    <row r="338" spans="9:9">
      <c r="I338" s="151" t="s">
        <v>482</v>
      </c>
    </row>
    <row r="339" spans="9:9">
      <c r="I339" s="151" t="s">
        <v>340</v>
      </c>
    </row>
    <row r="340" spans="9:9">
      <c r="I340" s="151" t="s">
        <v>390</v>
      </c>
    </row>
    <row r="341" spans="9:9">
      <c r="I341" s="151" t="s">
        <v>403</v>
      </c>
    </row>
    <row r="342" spans="9:9">
      <c r="I342" s="151" t="s">
        <v>353</v>
      </c>
    </row>
    <row r="343" spans="9:9">
      <c r="I343" s="151" t="s">
        <v>399</v>
      </c>
    </row>
    <row r="344" spans="9:9">
      <c r="I344" s="151" t="s">
        <v>442</v>
      </c>
    </row>
    <row r="345" spans="9:9">
      <c r="I345" s="151" t="s">
        <v>407</v>
      </c>
    </row>
    <row r="346" spans="9:9">
      <c r="I346" s="151" t="s">
        <v>356</v>
      </c>
    </row>
    <row r="347" spans="9:9">
      <c r="I347" s="151" t="s">
        <v>446</v>
      </c>
    </row>
    <row r="348" spans="9:9">
      <c r="I348" s="151" t="s">
        <v>411</v>
      </c>
    </row>
    <row r="349" spans="9:9">
      <c r="I349" s="151" t="s">
        <v>415</v>
      </c>
    </row>
    <row r="350" spans="9:9">
      <c r="I350" s="151" t="s">
        <v>483</v>
      </c>
    </row>
    <row r="351" spans="9:9">
      <c r="I351" s="151" t="s">
        <v>541</v>
      </c>
    </row>
    <row r="352" spans="9:9">
      <c r="I352" s="151" t="s">
        <v>543</v>
      </c>
    </row>
    <row r="353" spans="9:9">
      <c r="I353" s="151" t="s">
        <v>363</v>
      </c>
    </row>
    <row r="354" spans="9:9">
      <c r="I354" s="151" t="s">
        <v>367</v>
      </c>
    </row>
    <row r="355" spans="9:9">
      <c r="I355" s="151" t="s">
        <v>549</v>
      </c>
    </row>
    <row r="356" spans="9:9">
      <c r="I356" s="151" t="s">
        <v>502</v>
      </c>
    </row>
    <row r="357" spans="9:9">
      <c r="I357" s="151" t="s">
        <v>551</v>
      </c>
    </row>
    <row r="358" spans="9:9">
      <c r="I358" s="151" t="s">
        <v>551</v>
      </c>
    </row>
    <row r="359" spans="9:9">
      <c r="I359" s="151" t="s">
        <v>554</v>
      </c>
    </row>
    <row r="360" spans="9:9">
      <c r="I360" s="151" t="s">
        <v>556</v>
      </c>
    </row>
    <row r="361" spans="9:9">
      <c r="I361" s="151" t="s">
        <v>557</v>
      </c>
    </row>
    <row r="362" spans="9:9">
      <c r="I362" s="151" t="s">
        <v>561</v>
      </c>
    </row>
    <row r="363" spans="9:9">
      <c r="I363" s="151" t="s">
        <v>564</v>
      </c>
    </row>
    <row r="364" spans="9:9">
      <c r="I364" s="151" t="s">
        <v>568</v>
      </c>
    </row>
    <row r="365" spans="9:9">
      <c r="I365" s="151" t="s">
        <v>570</v>
      </c>
    </row>
    <row r="366" spans="9:9">
      <c r="I366" s="151" t="s">
        <v>572</v>
      </c>
    </row>
    <row r="367" spans="9:9">
      <c r="I367" s="151" t="s">
        <v>573</v>
      </c>
    </row>
    <row r="368" spans="9:9">
      <c r="I368" s="151" t="s">
        <v>551</v>
      </c>
    </row>
    <row r="369" spans="9:9">
      <c r="I369" s="151" t="s">
        <v>551</v>
      </c>
    </row>
    <row r="370" spans="9:9">
      <c r="I370" s="151" t="s">
        <v>554</v>
      </c>
    </row>
    <row r="371" spans="9:9">
      <c r="I371" s="151" t="s">
        <v>556</v>
      </c>
    </row>
    <row r="372" spans="9:9">
      <c r="I372" s="151" t="s">
        <v>557</v>
      </c>
    </row>
    <row r="373" spans="9:9">
      <c r="I373" s="151" t="s">
        <v>561</v>
      </c>
    </row>
    <row r="374" spans="9:9">
      <c r="I374" s="151" t="s">
        <v>564</v>
      </c>
    </row>
    <row r="375" spans="9:9">
      <c r="I375" s="151" t="s">
        <v>568</v>
      </c>
    </row>
    <row r="376" spans="9:9">
      <c r="I376" s="151" t="s">
        <v>570</v>
      </c>
    </row>
    <row r="377" spans="9:9">
      <c r="I377" s="151" t="s">
        <v>572</v>
      </c>
    </row>
    <row r="378" spans="9:9">
      <c r="I378" s="151" t="s">
        <v>573</v>
      </c>
    </row>
    <row r="379" spans="9:9">
      <c r="I379" s="151" t="s">
        <v>551</v>
      </c>
    </row>
    <row r="380" spans="9:9">
      <c r="I380" s="151" t="s">
        <v>577</v>
      </c>
    </row>
    <row r="381" spans="9:9">
      <c r="I381" s="151" t="s">
        <v>557</v>
      </c>
    </row>
    <row r="382" spans="9:9">
      <c r="I382" s="151" t="s">
        <v>564</v>
      </c>
    </row>
    <row r="383" spans="9:9">
      <c r="I383" s="151" t="s">
        <v>556</v>
      </c>
    </row>
    <row r="384" spans="9:9">
      <c r="I384" s="151" t="s">
        <v>573</v>
      </c>
    </row>
    <row r="385" spans="9:9">
      <c r="I385" s="151" t="s">
        <v>570</v>
      </c>
    </row>
    <row r="386" spans="9:9">
      <c r="I386" s="151" t="s">
        <v>581</v>
      </c>
    </row>
    <row r="387" spans="9:9">
      <c r="I387" s="151" t="s">
        <v>572</v>
      </c>
    </row>
    <row r="388" spans="9:9">
      <c r="I388" s="151" t="s">
        <v>584</v>
      </c>
    </row>
    <row r="389" spans="9:9">
      <c r="I389" s="151" t="s">
        <v>588</v>
      </c>
    </row>
    <row r="390" spans="9:9">
      <c r="I390" s="151" t="s">
        <v>589</v>
      </c>
    </row>
    <row r="391" spans="9:9">
      <c r="I391" s="151" t="s">
        <v>592</v>
      </c>
    </row>
    <row r="392" spans="9:9">
      <c r="I392" s="151" t="s">
        <v>595</v>
      </c>
    </row>
    <row r="393" spans="9:9">
      <c r="I393" s="151" t="s">
        <v>498</v>
      </c>
    </row>
    <row r="394" spans="9:9">
      <c r="I394" s="151" t="s">
        <v>500</v>
      </c>
    </row>
    <row r="395" spans="9:9">
      <c r="I395" s="151" t="s">
        <v>502</v>
      </c>
    </row>
    <row r="396" spans="9:9">
      <c r="I396" s="151" t="s">
        <v>504</v>
      </c>
    </row>
    <row r="397" spans="9:9">
      <c r="I397" s="151" t="s">
        <v>506</v>
      </c>
    </row>
    <row r="398" spans="9:9">
      <c r="I398" s="151" t="s">
        <v>598</v>
      </c>
    </row>
    <row r="399" spans="9:9">
      <c r="I399" s="151" t="s">
        <v>601</v>
      </c>
    </row>
    <row r="400" spans="9:9">
      <c r="I400" s="151" t="s">
        <v>604</v>
      </c>
    </row>
    <row r="401" spans="9:9">
      <c r="I401" s="151" t="s">
        <v>607</v>
      </c>
    </row>
    <row r="402" spans="9:9">
      <c r="I402" s="151" t="s">
        <v>610</v>
      </c>
    </row>
    <row r="403" spans="9:9">
      <c r="I403" s="151" t="s">
        <v>613</v>
      </c>
    </row>
    <row r="404" spans="9:9">
      <c r="I404" s="151" t="s">
        <v>616</v>
      </c>
    </row>
    <row r="405" spans="9:9">
      <c r="I405" s="151" t="s">
        <v>607</v>
      </c>
    </row>
    <row r="406" spans="9:9">
      <c r="I406" s="151" t="s">
        <v>619</v>
      </c>
    </row>
    <row r="407" spans="9:9">
      <c r="I407" s="151" t="s">
        <v>620</v>
      </c>
    </row>
  </sheetData>
  <mergeCells count="11">
    <mergeCell ref="C144:C145"/>
    <mergeCell ref="C146:C147"/>
    <mergeCell ref="C148:C149"/>
    <mergeCell ref="C150:C151"/>
    <mergeCell ref="J3:K3"/>
    <mergeCell ref="E82:E84"/>
    <mergeCell ref="F82:F84"/>
    <mergeCell ref="G82:G84"/>
    <mergeCell ref="F139:F151"/>
    <mergeCell ref="C142:C143"/>
    <mergeCell ref="E142:E151"/>
  </mergeCells>
  <hyperlinks>
    <hyperlink ref="A1" location="'【更新停止】APIエンドポイント一覧'!A1" display="メインシートに戻る" xr:uid="{00000000-0004-0000-0600-000000000000}"/>
    <hyperlink ref="E136" r:id="rId1" xr:uid="{00000000-0004-0000-0600-000001000000}"/>
    <hyperlink ref="E137" r:id="rId2" xr:uid="{00000000-0004-0000-0600-000002000000}"/>
    <hyperlink ref="F139" location="'レース一覧 &gt; 条件絞り込みモーダル'!D62" display="レース一覧&gt;条件絞り込みモーダル(/races/myFilterCondition) で使用" xr:uid="{00000000-0004-0000-0600-000003000000}"/>
    <hyperlink ref="E141" r:id="rId3" xr:uid="{00000000-0004-0000-0600-000004000000}"/>
    <hyperlink ref="E142" r:id="rId4" xr:uid="{00000000-0004-0000-0600-000005000000}"/>
  </hyperlinks>
  <pageMargins left="0" right="0" top="0" bottom="0" header="0" footer="0"/>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2DD0-6A84-485B-B63C-1C920BD29546}">
  <dimension ref="A1:E8"/>
  <sheetViews>
    <sheetView workbookViewId="0">
      <selection activeCell="C44" sqref="C44"/>
    </sheetView>
  </sheetViews>
  <sheetFormatPr defaultRowHeight="12.75"/>
  <cols>
    <col min="1" max="1" width="40.7109375" customWidth="1"/>
    <col min="2" max="2" width="32" customWidth="1"/>
    <col min="3" max="3" width="35.85546875" customWidth="1"/>
    <col min="4" max="4" width="29.42578125" customWidth="1"/>
    <col min="5" max="5" width="40.42578125" customWidth="1"/>
  </cols>
  <sheetData>
    <row r="1" spans="1:5" ht="14.25">
      <c r="A1" s="223" t="s">
        <v>693</v>
      </c>
      <c r="B1" s="224" t="s">
        <v>250</v>
      </c>
      <c r="C1" s="225" t="s">
        <v>694</v>
      </c>
      <c r="D1" s="225" t="s">
        <v>695</v>
      </c>
      <c r="E1" s="225" t="s">
        <v>696</v>
      </c>
    </row>
    <row r="2" spans="1:5">
      <c r="A2" s="221" t="s">
        <v>697</v>
      </c>
      <c r="B2" s="222" t="s">
        <v>264</v>
      </c>
      <c r="C2" s="222" t="s">
        <v>698</v>
      </c>
      <c r="D2" s="222" t="s">
        <v>699</v>
      </c>
    </row>
    <row r="3" spans="1:5">
      <c r="A3" s="221" t="s">
        <v>700</v>
      </c>
      <c r="B3" s="222" t="s">
        <v>264</v>
      </c>
      <c r="C3" s="222"/>
      <c r="D3" s="222"/>
    </row>
    <row r="4" spans="1:5">
      <c r="A4" s="221" t="s">
        <v>701</v>
      </c>
      <c r="B4" s="222" t="s">
        <v>264</v>
      </c>
      <c r="C4" s="222"/>
      <c r="D4" s="222"/>
    </row>
    <row r="5" spans="1:5">
      <c r="A5" s="221" t="s">
        <v>702</v>
      </c>
      <c r="B5" s="222" t="s">
        <v>264</v>
      </c>
      <c r="C5" s="222" t="s">
        <v>703</v>
      </c>
      <c r="D5" s="222" t="s">
        <v>704</v>
      </c>
    </row>
    <row r="6" spans="1:5">
      <c r="A6" s="221" t="s">
        <v>705</v>
      </c>
      <c r="B6" s="222" t="s">
        <v>706</v>
      </c>
      <c r="C6" s="222" t="s">
        <v>707</v>
      </c>
      <c r="D6" s="222">
        <v>84912345678</v>
      </c>
    </row>
    <row r="7" spans="1:5">
      <c r="A7" s="221"/>
      <c r="B7" s="222"/>
      <c r="C7" s="222"/>
      <c r="D7" s="222"/>
    </row>
    <row r="8" spans="1:5">
      <c r="A8" s="221"/>
      <c r="B8" s="222"/>
      <c r="C8" s="222"/>
      <c r="D8" s="2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7455-AD53-49F4-A9A8-DCC40E1252C8}">
  <dimension ref="A1"/>
  <sheetViews>
    <sheetView workbookViewId="0"/>
  </sheetViews>
  <sheetFormatPr defaultRowHeight="12.7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ED70-1BA6-460E-ACA1-69869A9D996F}">
  <sheetPr>
    <tabColor theme="4" tint="0.59999389629810485"/>
  </sheetPr>
  <dimension ref="A2:HV42"/>
  <sheetViews>
    <sheetView tabSelected="1" zoomScaleNormal="100" workbookViewId="0">
      <pane xSplit="8" topLeftCell="I1" activePane="topRight" state="frozen"/>
      <selection pane="topRight" activeCell="K22" sqref="K22"/>
      <selection sqref="A1:H1"/>
    </sheetView>
  </sheetViews>
  <sheetFormatPr defaultColWidth="3.85546875" defaultRowHeight="15" customHeight="1"/>
  <cols>
    <col min="1" max="1" width="4.140625" style="192" customWidth="1"/>
    <col min="2" max="2" width="10.85546875" style="192" customWidth="1"/>
    <col min="3" max="3" width="11.42578125" style="192" customWidth="1"/>
    <col min="4" max="4" width="13.85546875" style="192" customWidth="1"/>
    <col min="5" max="5" width="18.28515625" style="192" customWidth="1"/>
    <col min="6" max="6" width="6.7109375" style="192" bestFit="1" customWidth="1"/>
    <col min="7" max="7" width="7.85546875" style="192" customWidth="1"/>
    <col min="8" max="8" width="6.42578125" style="192" customWidth="1"/>
    <col min="9" max="9" width="9.140625" style="192"/>
    <col min="10" max="10" width="11.140625" style="192" bestFit="1" customWidth="1"/>
    <col min="11" max="11" width="8.28515625" style="192" customWidth="1"/>
    <col min="12" max="12" width="12.28515625" style="192" customWidth="1"/>
    <col min="13" max="13" width="13.28515625" style="192" bestFit="1" customWidth="1"/>
    <col min="14" max="14" width="12.140625" style="192" customWidth="1"/>
    <col min="15" max="18" width="9.140625" style="192"/>
    <col min="19" max="19" width="18" style="193" customWidth="1"/>
    <col min="20" max="35" width="9.140625" style="162"/>
    <col min="36" max="36" width="13.85546875" style="162" customWidth="1"/>
    <col min="37" max="37" width="9.140625" style="162"/>
    <col min="38" max="38" width="18.85546875" style="162" customWidth="1"/>
    <col min="39" max="48" width="9.140625" style="162"/>
    <col min="49" max="50" width="10.85546875" style="167" customWidth="1"/>
    <col min="51" max="51" width="9.140625" style="167"/>
    <col min="52" max="52" width="17.5703125" style="167" customWidth="1"/>
    <col min="53" max="53" width="33.7109375" style="167" customWidth="1"/>
    <col min="54" max="54" width="20" style="167" customWidth="1"/>
    <col min="55" max="56" width="11.42578125" style="167" customWidth="1"/>
    <col min="57" max="57" width="26.85546875" style="167" customWidth="1"/>
    <col min="58" max="58" width="22.7109375" style="167" customWidth="1"/>
    <col min="59" max="59" width="35.42578125" style="167" customWidth="1"/>
    <col min="60" max="60" width="46" style="167" customWidth="1"/>
    <col min="61" max="61" width="11.42578125" style="167" customWidth="1"/>
    <col min="62" max="69" width="9.140625" style="167"/>
    <col min="70" max="70" width="3.85546875" style="167" customWidth="1"/>
    <col min="71" max="85" width="9.140625" style="167"/>
    <col min="86" max="86" width="3.85546875" style="167" customWidth="1"/>
    <col min="87" max="112" width="9.140625" style="167"/>
    <col min="113" max="113" width="3.85546875" style="167" customWidth="1"/>
    <col min="114" max="133" width="9.140625" style="167"/>
    <col min="134" max="134" width="3.85546875" style="167" customWidth="1"/>
    <col min="135" max="181" width="0" style="167" hidden="1" customWidth="1"/>
    <col min="182" max="182" width="3.85546875" style="167" hidden="1" customWidth="1"/>
    <col min="183" max="229" width="0" style="167" hidden="1" customWidth="1"/>
    <col min="230" max="230" width="3.85546875" style="167" hidden="1" customWidth="1"/>
    <col min="231" max="16384" width="3.85546875" style="167"/>
  </cols>
  <sheetData>
    <row r="2" spans="1:193" ht="15" customHeight="1">
      <c r="B2" s="164"/>
      <c r="C2" s="165" t="s">
        <v>205</v>
      </c>
      <c r="D2" s="165" t="s">
        <v>206</v>
      </c>
      <c r="E2" s="165" t="s">
        <v>207</v>
      </c>
    </row>
    <row r="3" spans="1:193" ht="15" customHeight="1">
      <c r="B3" s="164"/>
      <c r="C3" s="165" t="s">
        <v>208</v>
      </c>
      <c r="D3" s="165" t="s">
        <v>209</v>
      </c>
      <c r="E3" s="165" t="s">
        <v>210</v>
      </c>
    </row>
    <row r="4" spans="1:193" ht="27.75" customHeight="1">
      <c r="B4" s="164"/>
      <c r="C4" s="165" t="s">
        <v>144</v>
      </c>
      <c r="D4" s="165" t="s">
        <v>211</v>
      </c>
      <c r="E4" s="197" t="s">
        <v>212</v>
      </c>
      <c r="AY4" s="168" t="s">
        <v>213</v>
      </c>
    </row>
    <row r="5" spans="1:193" ht="51" customHeight="1">
      <c r="C5" s="165" t="s">
        <v>214</v>
      </c>
      <c r="D5" s="165" t="s">
        <v>215</v>
      </c>
      <c r="E5" s="197" t="s">
        <v>216</v>
      </c>
    </row>
    <row r="7" spans="1:193" ht="15" customHeight="1">
      <c r="AW7" s="163"/>
      <c r="AX7" s="163"/>
      <c r="AY7" s="162"/>
      <c r="AZ7" s="163"/>
      <c r="BA7" s="163"/>
      <c r="BJ7" s="164" t="s">
        <v>217</v>
      </c>
      <c r="BK7" s="165">
        <f ca="1">COUNTIF(BK20:BK3766,$BJ7)</f>
        <v>0</v>
      </c>
      <c r="BL7" s="165">
        <f ca="1">COUNTIF(BL20:BL3766,$BJ7)</f>
        <v>0</v>
      </c>
      <c r="BM7" s="165">
        <f ca="1">COUNTIF(BM20:BM3766,$BJ7)</f>
        <v>0</v>
      </c>
      <c r="BN7" s="165">
        <f ca="1">COUNTIF(BN20:BN3766,$BJ7)</f>
        <v>0</v>
      </c>
      <c r="BO7" s="165">
        <f ca="1">COUNTIF(BO20:BO3766,$BJ7)</f>
        <v>0</v>
      </c>
      <c r="BP7" s="165">
        <f ca="1">COUNTIF(BP20:BP3766,$BJ7)</f>
        <v>0</v>
      </c>
      <c r="BQ7" s="165">
        <f ca="1">COUNTIF(BQ20:BQ3766,$BJ7)</f>
        <v>0</v>
      </c>
      <c r="BR7" s="166">
        <f>SUM(BK7:BQ7)</f>
        <v>0</v>
      </c>
    </row>
    <row r="8" spans="1:193" ht="15" customHeight="1">
      <c r="AX8" s="162"/>
      <c r="AY8" s="163"/>
      <c r="AZ8" s="163"/>
      <c r="BA8" s="162"/>
      <c r="BB8" s="163"/>
      <c r="BJ8" s="164" t="s">
        <v>218</v>
      </c>
      <c r="BK8" s="165">
        <f ca="1">COUNTIF(BK20:BK3766,$BJ8)</f>
        <v>0</v>
      </c>
      <c r="BL8" s="165">
        <f ca="1">COUNTIF(BL20:BL3766,$BJ8)</f>
        <v>0</v>
      </c>
      <c r="BM8" s="165">
        <f ca="1">COUNTIF(BM20:BM3766,$BJ8)</f>
        <v>0</v>
      </c>
      <c r="BN8" s="165">
        <f ca="1">COUNTIF(BN20:BN3766,$BJ8)</f>
        <v>0</v>
      </c>
      <c r="BO8" s="165">
        <f ca="1">COUNTIF(BO20:BO3766,$BJ8)</f>
        <v>0</v>
      </c>
      <c r="BP8" s="165">
        <f ca="1">COUNTIF(BP20:BP3766,$BJ8)</f>
        <v>0</v>
      </c>
      <c r="BQ8" s="165">
        <f ca="1">COUNTIF(BQ20:BQ3766,$BJ8)</f>
        <v>0</v>
      </c>
      <c r="BR8" s="166">
        <f>SUM(BK8:BQ8)</f>
        <v>0</v>
      </c>
    </row>
    <row r="9" spans="1:193" ht="15" customHeight="1">
      <c r="AY9" s="168"/>
      <c r="AZ9" s="168"/>
      <c r="BA9" s="168"/>
      <c r="BB9" s="168"/>
      <c r="BJ9" s="164" t="s">
        <v>708</v>
      </c>
      <c r="BK9" s="165">
        <f>AY7-BK7-BK8</f>
        <v>0</v>
      </c>
      <c r="BL9" s="165" t="e">
        <f>#REF!-BL7-BL8</f>
        <v>#REF!</v>
      </c>
      <c r="BM9" s="165">
        <f>AZ7-BM7-BM8</f>
        <v>0</v>
      </c>
      <c r="BN9" s="165">
        <f>BA7-BN7-BN8</f>
        <v>0</v>
      </c>
      <c r="BO9" s="165">
        <f>BB7-BO7-BO8</f>
        <v>0</v>
      </c>
      <c r="BP9" s="165" t="e">
        <f>#REF!-BP7-BP8</f>
        <v>#REF!</v>
      </c>
      <c r="BQ9" s="165" t="e">
        <f>#REF!-BQ7-BQ8</f>
        <v>#REF!</v>
      </c>
      <c r="BR9" s="166" t="e">
        <f>SUM(BK9:BQ9)</f>
        <v>#REF!</v>
      </c>
    </row>
    <row r="10" spans="1:193" ht="14.25" customHeight="1">
      <c r="AY10" s="168"/>
      <c r="AZ10" s="168"/>
      <c r="BA10" s="168"/>
      <c r="BB10" s="168"/>
      <c r="BJ10" s="168"/>
      <c r="BK10" s="168"/>
      <c r="BL10" s="168"/>
      <c r="BM10" s="168"/>
      <c r="BN10" s="168"/>
      <c r="BO10" s="168"/>
      <c r="BP10" s="168"/>
      <c r="BQ10" s="168"/>
    </row>
    <row r="11" spans="1:193" ht="22.5" customHeight="1">
      <c r="A11" s="355" t="s">
        <v>220</v>
      </c>
      <c r="B11" s="356"/>
      <c r="C11" s="356"/>
      <c r="D11" s="356"/>
      <c r="E11" s="357" t="s">
        <v>221</v>
      </c>
      <c r="F11" s="358"/>
      <c r="G11" s="358"/>
      <c r="H11" s="358"/>
      <c r="I11" s="184"/>
      <c r="J11" s="359" t="s">
        <v>222</v>
      </c>
      <c r="K11" s="360"/>
      <c r="L11" s="361"/>
      <c r="M11" s="359" t="s">
        <v>223</v>
      </c>
      <c r="N11" s="360"/>
      <c r="O11" s="360"/>
      <c r="P11" s="360"/>
      <c r="Q11" s="360"/>
      <c r="R11" s="360"/>
      <c r="S11" s="362"/>
      <c r="T11" s="346"/>
      <c r="U11" s="363"/>
      <c r="V11" s="346" t="s">
        <v>224</v>
      </c>
      <c r="W11" s="363"/>
      <c r="X11" s="343">
        <v>45915</v>
      </c>
      <c r="Y11" s="344"/>
      <c r="Z11" s="344"/>
      <c r="AA11" s="344"/>
      <c r="AB11" s="345"/>
      <c r="AC11" s="346" t="s">
        <v>225</v>
      </c>
      <c r="AD11" s="347"/>
      <c r="AE11" s="348">
        <v>45915</v>
      </c>
      <c r="AF11" s="349"/>
      <c r="AG11" s="349"/>
      <c r="AH11" s="349"/>
      <c r="AI11" s="349"/>
      <c r="AJ11" s="346" t="s">
        <v>226</v>
      </c>
      <c r="AK11" s="347"/>
      <c r="AY11" s="350"/>
      <c r="AZ11" s="351"/>
      <c r="BA11" s="351"/>
      <c r="BB11" s="351"/>
      <c r="BC11" s="351"/>
      <c r="BD11" s="351"/>
      <c r="BE11" s="351"/>
      <c r="BF11" s="351"/>
      <c r="BG11" s="351"/>
      <c r="BH11" s="351"/>
      <c r="BJ11" s="168"/>
      <c r="BK11" s="352" t="s">
        <v>227</v>
      </c>
      <c r="BL11" s="353"/>
      <c r="BM11" s="353"/>
      <c r="BN11" s="353"/>
      <c r="BO11" s="353"/>
      <c r="BP11" s="353"/>
      <c r="BQ11" s="354"/>
      <c r="BU11" s="169"/>
      <c r="CG11" s="169"/>
      <c r="CS11" s="169"/>
      <c r="DA11" s="169"/>
      <c r="DB11" s="169"/>
      <c r="DC11" s="169"/>
      <c r="DD11" s="169"/>
      <c r="DE11" s="169"/>
      <c r="DQ11" s="169"/>
      <c r="EC11" s="169"/>
      <c r="EO11" s="169"/>
      <c r="EW11" s="169"/>
      <c r="EX11" s="169"/>
      <c r="EY11" s="169"/>
      <c r="EZ11" s="169"/>
      <c r="FA11" s="169"/>
      <c r="FM11" s="169"/>
      <c r="FY11" s="169"/>
      <c r="GK11" s="169"/>
    </row>
    <row r="12" spans="1:193" ht="22.5" customHeight="1">
      <c r="A12" s="331" t="s">
        <v>83</v>
      </c>
      <c r="B12" s="332"/>
      <c r="C12" s="332"/>
      <c r="D12" s="332"/>
      <c r="E12" s="333" t="s">
        <v>280</v>
      </c>
      <c r="F12" s="334"/>
      <c r="G12" s="334"/>
      <c r="H12" s="334"/>
      <c r="I12" s="334"/>
      <c r="J12" s="335" t="s">
        <v>229</v>
      </c>
      <c r="K12" s="336"/>
      <c r="L12" s="337"/>
      <c r="M12" s="338" t="s">
        <v>230</v>
      </c>
      <c r="N12" s="339"/>
      <c r="O12" s="339"/>
      <c r="P12" s="339"/>
      <c r="Q12" s="339"/>
      <c r="R12" s="339"/>
      <c r="S12" s="340"/>
      <c r="T12" s="341"/>
      <c r="U12" s="342"/>
      <c r="V12" s="341" t="s">
        <v>231</v>
      </c>
      <c r="W12" s="342"/>
      <c r="X12" s="319" t="s">
        <v>232</v>
      </c>
      <c r="Y12" s="320"/>
      <c r="Z12" s="320"/>
      <c r="AA12" s="320"/>
      <c r="AB12" s="321"/>
      <c r="AC12" s="322" t="s">
        <v>233</v>
      </c>
      <c r="AD12" s="323"/>
      <c r="AE12" s="324" t="s">
        <v>234</v>
      </c>
      <c r="AF12" s="325"/>
      <c r="AG12" s="325"/>
      <c r="AH12" s="325"/>
      <c r="AI12" s="325"/>
      <c r="AJ12" s="322" t="s">
        <v>235</v>
      </c>
      <c r="AK12" s="323"/>
      <c r="AY12" s="311" t="s">
        <v>236</v>
      </c>
      <c r="AZ12" s="311"/>
      <c r="BA12" s="311"/>
      <c r="BB12" s="326"/>
      <c r="BC12" s="327" t="s">
        <v>237</v>
      </c>
      <c r="BD12" s="328"/>
      <c r="BE12" s="328"/>
      <c r="BF12" s="328"/>
      <c r="BG12" s="328"/>
      <c r="BH12" s="328"/>
      <c r="BJ12" s="168"/>
      <c r="BK12" s="311"/>
      <c r="BL12" s="311"/>
      <c r="BM12" s="311"/>
      <c r="BN12" s="311"/>
      <c r="BO12" s="311"/>
      <c r="BP12" s="311"/>
      <c r="BQ12" s="311"/>
      <c r="BU12" s="169"/>
      <c r="CG12" s="169"/>
      <c r="CS12" s="169"/>
      <c r="DA12" s="169"/>
      <c r="DB12" s="169"/>
      <c r="DC12" s="169"/>
      <c r="DD12" s="169"/>
      <c r="DE12" s="169"/>
      <c r="DQ12" s="169"/>
      <c r="EC12" s="169"/>
      <c r="EO12" s="169"/>
      <c r="EW12" s="169"/>
      <c r="EX12" s="169"/>
      <c r="EY12" s="169"/>
      <c r="EZ12" s="169"/>
      <c r="FA12" s="169"/>
      <c r="FM12" s="169"/>
      <c r="FY12" s="169"/>
      <c r="GK12" s="169"/>
    </row>
    <row r="13" spans="1:193" ht="13.5" customHeight="1">
      <c r="A13" s="170" t="s">
        <v>238</v>
      </c>
      <c r="B13" s="171"/>
      <c r="C13" s="171"/>
      <c r="D13" s="171"/>
      <c r="E13" s="171"/>
      <c r="F13" s="170"/>
      <c r="G13" s="171"/>
      <c r="H13" s="172"/>
      <c r="I13" s="367"/>
      <c r="J13" s="237"/>
      <c r="K13" s="237"/>
      <c r="L13" s="237"/>
      <c r="M13" s="237"/>
      <c r="N13" s="237"/>
      <c r="O13" s="237"/>
      <c r="P13" s="237"/>
      <c r="Q13" s="237"/>
      <c r="R13" s="237"/>
      <c r="S13" s="312"/>
      <c r="Z13" s="173"/>
      <c r="AA13" s="173"/>
      <c r="AB13" s="173"/>
      <c r="AC13" s="173"/>
      <c r="AD13" s="173"/>
      <c r="AE13" s="173"/>
      <c r="AF13" s="173"/>
      <c r="AG13" s="173"/>
      <c r="AH13" s="173"/>
      <c r="AI13" s="173"/>
      <c r="AJ13" s="173"/>
      <c r="AK13" s="173"/>
      <c r="AL13" s="173"/>
      <c r="AM13" s="173"/>
      <c r="AN13" s="173"/>
      <c r="AO13" s="173"/>
      <c r="AP13" s="174"/>
      <c r="AQ13" s="174"/>
      <c r="AR13" s="174"/>
      <c r="AS13" s="174"/>
      <c r="AT13" s="174"/>
      <c r="AU13" s="174"/>
      <c r="AV13" s="174"/>
      <c r="AY13" s="313" t="s">
        <v>239</v>
      </c>
      <c r="AZ13" s="313" t="s">
        <v>240</v>
      </c>
      <c r="BA13" s="313" t="s">
        <v>241</v>
      </c>
      <c r="BB13" s="314" t="s">
        <v>242</v>
      </c>
      <c r="BC13" s="400" t="s">
        <v>239</v>
      </c>
      <c r="BD13" s="399" t="s">
        <v>243</v>
      </c>
      <c r="BE13" s="399" t="s">
        <v>244</v>
      </c>
      <c r="BF13" s="399" t="s">
        <v>245</v>
      </c>
      <c r="BG13" s="399" t="s">
        <v>246</v>
      </c>
      <c r="BH13" s="399" t="s">
        <v>247</v>
      </c>
      <c r="BJ13" s="168"/>
      <c r="BK13" s="313"/>
      <c r="BL13" s="313"/>
      <c r="BM13" s="313"/>
      <c r="BN13" s="313"/>
      <c r="BO13" s="313"/>
      <c r="BP13" s="313"/>
      <c r="BQ13" s="313"/>
    </row>
    <row r="14" spans="1:193" ht="13.5" customHeight="1">
      <c r="A14" s="368" t="s">
        <v>248</v>
      </c>
      <c r="B14" s="370" t="s">
        <v>709</v>
      </c>
      <c r="C14" s="371"/>
      <c r="D14" s="371"/>
      <c r="E14" s="371"/>
      <c r="F14" s="371"/>
      <c r="G14" s="371"/>
      <c r="H14" s="372"/>
      <c r="I14" s="376" t="s">
        <v>250</v>
      </c>
      <c r="J14" s="377"/>
      <c r="K14" s="380" t="s">
        <v>209</v>
      </c>
      <c r="L14" s="380" t="s">
        <v>251</v>
      </c>
      <c r="M14" s="380" t="s">
        <v>710</v>
      </c>
      <c r="N14" s="380" t="s">
        <v>711</v>
      </c>
      <c r="O14" s="380" t="s">
        <v>254</v>
      </c>
      <c r="P14" s="380" t="s">
        <v>255</v>
      </c>
      <c r="Q14" s="380" t="s">
        <v>256</v>
      </c>
      <c r="R14" s="380" t="s">
        <v>257</v>
      </c>
      <c r="S14" s="380" t="s">
        <v>258</v>
      </c>
      <c r="T14" s="293" t="s">
        <v>712</v>
      </c>
      <c r="U14" s="382"/>
      <c r="V14" s="382"/>
      <c r="W14" s="382"/>
      <c r="X14" s="382"/>
      <c r="Y14" s="383"/>
      <c r="Z14" s="387"/>
      <c r="AA14" s="299"/>
      <c r="AB14" s="299"/>
      <c r="AC14" s="299"/>
      <c r="AD14" s="299"/>
      <c r="AE14" s="299"/>
      <c r="AF14" s="299"/>
      <c r="AG14" s="299"/>
      <c r="AH14" s="299"/>
      <c r="AI14" s="299"/>
      <c r="AJ14" s="299"/>
      <c r="AK14" s="299"/>
      <c r="AL14" s="299"/>
      <c r="AM14" s="299"/>
      <c r="AN14" s="299"/>
      <c r="AO14" s="388"/>
      <c r="AP14" s="302" t="s">
        <v>713</v>
      </c>
      <c r="AQ14" s="389"/>
      <c r="AR14" s="389"/>
      <c r="AS14" s="389"/>
      <c r="AT14" s="389"/>
      <c r="AU14" s="389"/>
      <c r="AV14" s="390"/>
      <c r="AY14" s="291"/>
      <c r="AZ14" s="291"/>
      <c r="BA14" s="291"/>
      <c r="BB14" s="315"/>
      <c r="BC14" s="401"/>
      <c r="BD14" s="291"/>
      <c r="BE14" s="291"/>
      <c r="BF14" s="291"/>
      <c r="BG14" s="291"/>
      <c r="BH14" s="291"/>
      <c r="BJ14" s="168"/>
      <c r="BK14" s="291"/>
      <c r="BL14" s="291"/>
      <c r="BM14" s="291"/>
      <c r="BN14" s="291"/>
      <c r="BO14" s="291"/>
      <c r="BP14" s="291"/>
      <c r="BQ14" s="291"/>
    </row>
    <row r="15" spans="1:193" ht="13.5">
      <c r="A15" s="369"/>
      <c r="B15" s="373"/>
      <c r="C15" s="374"/>
      <c r="D15" s="374"/>
      <c r="E15" s="374"/>
      <c r="F15" s="374"/>
      <c r="G15" s="374"/>
      <c r="H15" s="375"/>
      <c r="I15" s="378"/>
      <c r="J15" s="379"/>
      <c r="K15" s="381"/>
      <c r="L15" s="381"/>
      <c r="M15" s="381"/>
      <c r="N15" s="381"/>
      <c r="O15" s="381"/>
      <c r="P15" s="381"/>
      <c r="Q15" s="381"/>
      <c r="R15" s="381"/>
      <c r="S15" s="381"/>
      <c r="T15" s="384"/>
      <c r="U15" s="385"/>
      <c r="V15" s="385"/>
      <c r="W15" s="385"/>
      <c r="X15" s="385"/>
      <c r="Y15" s="386"/>
      <c r="Z15" s="394" t="s">
        <v>260</v>
      </c>
      <c r="AA15" s="395"/>
      <c r="AB15" s="395"/>
      <c r="AC15" s="395"/>
      <c r="AD15" s="395"/>
      <c r="AE15" s="395"/>
      <c r="AF15" s="395"/>
      <c r="AG15" s="396"/>
      <c r="AH15" s="397" t="s">
        <v>261</v>
      </c>
      <c r="AI15" s="395"/>
      <c r="AJ15" s="395"/>
      <c r="AK15" s="395"/>
      <c r="AL15" s="395"/>
      <c r="AM15" s="395"/>
      <c r="AN15" s="395"/>
      <c r="AO15" s="398"/>
      <c r="AP15" s="391"/>
      <c r="AQ15" s="392"/>
      <c r="AR15" s="392"/>
      <c r="AS15" s="392"/>
      <c r="AT15" s="392"/>
      <c r="AU15" s="392"/>
      <c r="AV15" s="393"/>
      <c r="AY15" s="292"/>
      <c r="AZ15" s="292"/>
      <c r="BA15" s="292"/>
      <c r="BB15" s="316"/>
      <c r="BC15" s="402"/>
      <c r="BD15" s="292"/>
      <c r="BE15" s="292"/>
      <c r="BF15" s="292"/>
      <c r="BG15" s="292"/>
      <c r="BH15" s="292"/>
      <c r="BJ15" s="168"/>
      <c r="BK15" s="292"/>
      <c r="BL15" s="292"/>
      <c r="BM15" s="292"/>
      <c r="BN15" s="292"/>
      <c r="BO15" s="292"/>
      <c r="BP15" s="292"/>
      <c r="BQ15" s="292"/>
    </row>
    <row r="16" spans="1:193" ht="13.5" customHeight="1">
      <c r="A16" s="185">
        <v>1</v>
      </c>
      <c r="B16" s="186" t="s">
        <v>714</v>
      </c>
      <c r="C16" s="187"/>
      <c r="D16" s="187"/>
      <c r="E16" s="187"/>
      <c r="F16" s="187"/>
      <c r="G16" s="187"/>
      <c r="H16" s="187"/>
      <c r="I16" s="187"/>
      <c r="J16" s="187"/>
      <c r="K16" s="187"/>
      <c r="L16" s="187"/>
      <c r="M16" s="187"/>
      <c r="N16" s="187"/>
      <c r="O16" s="187"/>
      <c r="P16" s="187"/>
      <c r="Q16" s="187"/>
      <c r="R16" s="187"/>
      <c r="S16" s="194"/>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6"/>
      <c r="AU16" s="176"/>
      <c r="AV16" s="199"/>
      <c r="AY16" s="177"/>
      <c r="AZ16" s="177"/>
      <c r="BA16" s="177"/>
      <c r="BB16" s="201"/>
      <c r="BC16" s="204"/>
      <c r="BD16" s="177"/>
      <c r="BE16" s="177"/>
      <c r="BF16" s="177"/>
      <c r="BG16" s="177"/>
      <c r="BH16" s="177"/>
      <c r="BJ16" s="168"/>
      <c r="BK16" s="177"/>
      <c r="BL16" s="178"/>
      <c r="BM16" s="177"/>
      <c r="BN16" s="177"/>
      <c r="BO16" s="177"/>
      <c r="BP16" s="177"/>
      <c r="BQ16" s="177"/>
    </row>
    <row r="17" spans="1:69" ht="13.5" customHeight="1">
      <c r="A17" s="179">
        <v>1</v>
      </c>
      <c r="B17" s="188"/>
      <c r="C17" s="196"/>
      <c r="D17" s="196"/>
      <c r="E17" s="196"/>
      <c r="F17" s="196"/>
      <c r="G17" s="196"/>
      <c r="H17" s="196"/>
      <c r="I17" s="191"/>
      <c r="J17" s="191"/>
      <c r="K17" s="191"/>
      <c r="L17" s="191"/>
      <c r="M17" s="191"/>
      <c r="N17" s="191"/>
      <c r="O17" s="191"/>
      <c r="P17" s="191"/>
      <c r="Q17" s="191"/>
      <c r="R17" s="191"/>
      <c r="S17" s="191"/>
      <c r="T17" s="229"/>
      <c r="U17" s="230"/>
      <c r="V17" s="230"/>
      <c r="W17" s="230"/>
      <c r="X17" s="230"/>
      <c r="Y17" s="231"/>
      <c r="Z17" s="265"/>
      <c r="AA17" s="266"/>
      <c r="AB17" s="266"/>
      <c r="AC17" s="266"/>
      <c r="AD17" s="266"/>
      <c r="AE17" s="266"/>
      <c r="AF17" s="266"/>
      <c r="AG17" s="267"/>
      <c r="AH17" s="265"/>
      <c r="AI17" s="266"/>
      <c r="AJ17" s="266"/>
      <c r="AK17" s="266"/>
      <c r="AL17" s="266"/>
      <c r="AM17" s="266"/>
      <c r="AN17" s="266"/>
      <c r="AO17" s="274"/>
      <c r="AP17" s="232"/>
      <c r="AQ17" s="230"/>
      <c r="AR17" s="230"/>
      <c r="AS17" s="230"/>
      <c r="AT17" s="230"/>
      <c r="AU17" s="230"/>
      <c r="AV17" s="233"/>
      <c r="AY17" s="195"/>
      <c r="AZ17" s="195"/>
      <c r="BA17" s="195"/>
      <c r="BB17" s="202"/>
      <c r="BC17" s="205" t="s">
        <v>715</v>
      </c>
      <c r="BD17" s="195">
        <v>401</v>
      </c>
      <c r="BE17" s="195" t="s">
        <v>716</v>
      </c>
      <c r="BF17" s="195" t="s">
        <v>717</v>
      </c>
      <c r="BG17" s="195" t="s">
        <v>718</v>
      </c>
      <c r="BH17" s="195" t="s">
        <v>719</v>
      </c>
      <c r="BJ17" s="168"/>
      <c r="BK17" s="195"/>
      <c r="BL17" s="195"/>
      <c r="BM17" s="195"/>
      <c r="BN17" s="195"/>
      <c r="BO17" s="195"/>
      <c r="BP17" s="195"/>
      <c r="BQ17" s="195"/>
    </row>
    <row r="18" spans="1:69" ht="13.5" customHeight="1">
      <c r="A18" s="179">
        <v>2</v>
      </c>
      <c r="B18" s="188"/>
      <c r="C18" s="196"/>
      <c r="D18" s="196"/>
      <c r="E18" s="196"/>
      <c r="F18" s="196"/>
      <c r="G18" s="196"/>
      <c r="H18" s="196"/>
      <c r="I18" s="191"/>
      <c r="J18" s="191"/>
      <c r="K18" s="191"/>
      <c r="L18" s="191"/>
      <c r="M18" s="191"/>
      <c r="N18" s="191"/>
      <c r="O18" s="191"/>
      <c r="P18" s="191"/>
      <c r="Q18" s="191"/>
      <c r="R18" s="191"/>
      <c r="S18" s="191"/>
      <c r="T18" s="229"/>
      <c r="U18" s="230"/>
      <c r="V18" s="230"/>
      <c r="W18" s="230"/>
      <c r="X18" s="230"/>
      <c r="Y18" s="231"/>
      <c r="Z18" s="268"/>
      <c r="AA18" s="269"/>
      <c r="AB18" s="269"/>
      <c r="AC18" s="269"/>
      <c r="AD18" s="269"/>
      <c r="AE18" s="269"/>
      <c r="AF18" s="269"/>
      <c r="AG18" s="270"/>
      <c r="AH18" s="268"/>
      <c r="AI18" s="269"/>
      <c r="AJ18" s="269"/>
      <c r="AK18" s="269"/>
      <c r="AL18" s="269"/>
      <c r="AM18" s="269"/>
      <c r="AN18" s="269"/>
      <c r="AO18" s="275"/>
      <c r="AP18" s="232"/>
      <c r="AQ18" s="230"/>
      <c r="AR18" s="230"/>
      <c r="AS18" s="230"/>
      <c r="AT18" s="230"/>
      <c r="AU18" s="230"/>
      <c r="AV18" s="233"/>
      <c r="AY18" s="195"/>
      <c r="AZ18" s="195"/>
      <c r="BA18" s="195"/>
      <c r="BB18" s="202"/>
      <c r="BC18" s="205" t="s">
        <v>720</v>
      </c>
      <c r="BD18" s="195">
        <v>400</v>
      </c>
      <c r="BE18" s="195" t="s">
        <v>716</v>
      </c>
      <c r="BF18" s="195" t="s">
        <v>721</v>
      </c>
      <c r="BG18" s="195" t="s">
        <v>722</v>
      </c>
      <c r="BH18" s="195" t="s">
        <v>719</v>
      </c>
      <c r="BJ18" s="168"/>
      <c r="BK18" s="195"/>
      <c r="BL18" s="195"/>
      <c r="BM18" s="195"/>
      <c r="BN18" s="195"/>
      <c r="BO18" s="195"/>
      <c r="BP18" s="195"/>
      <c r="BQ18" s="195"/>
    </row>
    <row r="19" spans="1:69" ht="13.5" customHeight="1">
      <c r="A19" s="179">
        <v>3</v>
      </c>
      <c r="B19" s="188"/>
      <c r="C19" s="196"/>
      <c r="D19" s="196"/>
      <c r="E19" s="196"/>
      <c r="F19" s="196"/>
      <c r="G19" s="196"/>
      <c r="H19" s="196"/>
      <c r="I19" s="191"/>
      <c r="J19" s="191"/>
      <c r="K19" s="191"/>
      <c r="L19" s="191"/>
      <c r="M19" s="191"/>
      <c r="N19" s="191"/>
      <c r="O19" s="191"/>
      <c r="P19" s="191"/>
      <c r="Q19" s="191"/>
      <c r="R19" s="191"/>
      <c r="S19" s="191"/>
      <c r="T19" s="229"/>
      <c r="U19" s="230"/>
      <c r="V19" s="230"/>
      <c r="W19" s="230"/>
      <c r="X19" s="230"/>
      <c r="Y19" s="231"/>
      <c r="Z19" s="271"/>
      <c r="AA19" s="272"/>
      <c r="AB19" s="272"/>
      <c r="AC19" s="272"/>
      <c r="AD19" s="272"/>
      <c r="AE19" s="272"/>
      <c r="AF19" s="272"/>
      <c r="AG19" s="273"/>
      <c r="AH19" s="271"/>
      <c r="AI19" s="272"/>
      <c r="AJ19" s="272"/>
      <c r="AK19" s="272"/>
      <c r="AL19" s="272"/>
      <c r="AM19" s="272"/>
      <c r="AN19" s="272"/>
      <c r="AO19" s="276"/>
      <c r="AP19" s="255"/>
      <c r="AQ19" s="242"/>
      <c r="AR19" s="242"/>
      <c r="AS19" s="242"/>
      <c r="AT19" s="242"/>
      <c r="AU19" s="242"/>
      <c r="AV19" s="256"/>
      <c r="AY19" s="195"/>
      <c r="AZ19" s="195"/>
      <c r="BA19" s="195"/>
      <c r="BB19" s="202"/>
      <c r="BC19" s="205" t="s">
        <v>723</v>
      </c>
      <c r="BD19" s="195">
        <v>500</v>
      </c>
      <c r="BE19" s="195" t="s">
        <v>724</v>
      </c>
      <c r="BF19" s="195" t="s">
        <v>725</v>
      </c>
      <c r="BG19" s="195" t="s">
        <v>726</v>
      </c>
      <c r="BH19" s="195" t="s">
        <v>727</v>
      </c>
      <c r="BJ19" s="168"/>
      <c r="BK19" s="195"/>
      <c r="BL19" s="195"/>
      <c r="BM19" s="195"/>
      <c r="BN19" s="195"/>
      <c r="BO19" s="195"/>
      <c r="BP19" s="195"/>
      <c r="BQ19" s="195"/>
    </row>
    <row r="20" spans="1:69" ht="13.5" customHeight="1">
      <c r="A20" s="185">
        <v>2</v>
      </c>
      <c r="B20" s="186" t="s">
        <v>728</v>
      </c>
      <c r="C20" s="187"/>
      <c r="D20" s="187"/>
      <c r="E20" s="187"/>
      <c r="F20" s="187"/>
      <c r="G20" s="187"/>
      <c r="H20" s="187"/>
      <c r="I20" s="187"/>
      <c r="J20" s="187"/>
      <c r="K20" s="187"/>
      <c r="L20" s="187"/>
      <c r="M20" s="187"/>
      <c r="N20" s="187"/>
      <c r="O20" s="187"/>
      <c r="P20" s="187"/>
      <c r="Q20" s="187"/>
      <c r="R20" s="187"/>
      <c r="S20" s="194"/>
      <c r="T20" s="175"/>
      <c r="U20" s="175"/>
      <c r="V20" s="175"/>
      <c r="W20" s="175"/>
      <c r="X20" s="175"/>
      <c r="Y20" s="175"/>
      <c r="Z20" s="175"/>
      <c r="AA20" s="175"/>
      <c r="AB20" s="175"/>
      <c r="AC20" s="175"/>
      <c r="AD20" s="175"/>
      <c r="AE20" s="175"/>
      <c r="AF20" s="175"/>
      <c r="AG20" s="175"/>
      <c r="AH20" s="211"/>
      <c r="AI20" s="211"/>
      <c r="AJ20" s="211"/>
      <c r="AK20" s="211"/>
      <c r="AL20" s="211"/>
      <c r="AM20" s="211"/>
      <c r="AN20" s="211"/>
      <c r="AO20" s="211"/>
      <c r="AP20" s="175"/>
      <c r="AQ20" s="175"/>
      <c r="AR20" s="175"/>
      <c r="AS20" s="175"/>
      <c r="AT20" s="176"/>
      <c r="AU20" s="176"/>
      <c r="AV20" s="199"/>
      <c r="AY20" s="177"/>
      <c r="AZ20" s="177"/>
      <c r="BA20" s="177"/>
      <c r="BB20" s="201"/>
      <c r="BC20" s="195"/>
      <c r="BD20" s="205">
        <v>503</v>
      </c>
      <c r="BE20" s="195" t="s">
        <v>724</v>
      </c>
      <c r="BF20" s="205" t="s">
        <v>729</v>
      </c>
      <c r="BG20" s="205" t="s">
        <v>726</v>
      </c>
      <c r="BH20" s="205" t="s">
        <v>730</v>
      </c>
      <c r="BJ20" s="168"/>
      <c r="BK20" s="177"/>
      <c r="BL20" s="178"/>
      <c r="BM20" s="177"/>
      <c r="BN20" s="177"/>
      <c r="BO20" s="177"/>
      <c r="BP20" s="177"/>
      <c r="BQ20" s="177"/>
    </row>
    <row r="21" spans="1:69" s="162" customFormat="1" ht="18" customHeight="1">
      <c r="A21" s="179"/>
      <c r="B21" s="188" t="s">
        <v>700</v>
      </c>
      <c r="C21" s="189"/>
      <c r="D21" s="189"/>
      <c r="E21" s="189"/>
      <c r="F21" s="189"/>
      <c r="G21" s="189"/>
      <c r="H21" s="190"/>
      <c r="I21" s="234" t="s">
        <v>264</v>
      </c>
      <c r="J21" s="235"/>
      <c r="K21" s="165" t="s">
        <v>208</v>
      </c>
      <c r="L21" s="191"/>
      <c r="M21" s="191">
        <v>5</v>
      </c>
      <c r="N21" s="191">
        <v>255</v>
      </c>
      <c r="O21" s="210"/>
      <c r="P21" s="191"/>
      <c r="Q21" s="191"/>
      <c r="R21" s="191"/>
      <c r="S21" s="209"/>
      <c r="T21" s="229"/>
      <c r="U21" s="230"/>
      <c r="V21" s="230"/>
      <c r="W21" s="230"/>
      <c r="X21" s="230"/>
      <c r="Y21" s="231"/>
      <c r="Z21" s="241" t="s">
        <v>731</v>
      </c>
      <c r="AA21" s="257"/>
      <c r="AB21" s="257"/>
      <c r="AC21" s="257"/>
      <c r="AD21" s="257"/>
      <c r="AE21" s="257"/>
      <c r="AF21" s="257"/>
      <c r="AG21" s="258"/>
      <c r="AH21" s="261" t="s">
        <v>732</v>
      </c>
      <c r="AI21" s="262"/>
      <c r="AJ21" s="262"/>
      <c r="AK21" s="262"/>
      <c r="AL21" s="262"/>
      <c r="AM21" s="262"/>
      <c r="AN21" s="262"/>
      <c r="AO21" s="262"/>
      <c r="AP21" s="232"/>
      <c r="AQ21" s="230"/>
      <c r="AR21" s="230"/>
      <c r="AS21" s="230"/>
      <c r="AT21" s="230"/>
      <c r="AU21" s="230"/>
      <c r="AV21" s="233"/>
      <c r="AY21" s="180"/>
      <c r="AZ21" s="180"/>
      <c r="BA21" s="180"/>
      <c r="BB21" s="203"/>
      <c r="BC21" s="206"/>
      <c r="BD21" s="205">
        <v>429</v>
      </c>
      <c r="BE21" s="195" t="s">
        <v>716</v>
      </c>
      <c r="BF21" s="180" t="s">
        <v>733</v>
      </c>
      <c r="BG21" s="180" t="s">
        <v>734</v>
      </c>
      <c r="BH21" s="180" t="s">
        <v>735</v>
      </c>
      <c r="BI21" s="167"/>
      <c r="BK21" s="180"/>
      <c r="BL21" s="180"/>
      <c r="BM21" s="180"/>
      <c r="BN21" s="180"/>
      <c r="BO21" s="180"/>
      <c r="BP21" s="180"/>
      <c r="BQ21" s="180"/>
    </row>
    <row r="22" spans="1:69" s="162" customFormat="1" ht="13.5">
      <c r="A22" s="179"/>
      <c r="B22" s="188" t="s">
        <v>701</v>
      </c>
      <c r="C22" s="189"/>
      <c r="D22" s="189"/>
      <c r="E22" s="189"/>
      <c r="F22" s="189"/>
      <c r="G22" s="189"/>
      <c r="H22" s="190"/>
      <c r="I22" s="234" t="s">
        <v>264</v>
      </c>
      <c r="J22" s="235"/>
      <c r="K22" s="165" t="s">
        <v>208</v>
      </c>
      <c r="L22"/>
      <c r="M22" s="191">
        <v>6</v>
      </c>
      <c r="N22" s="191">
        <v>255</v>
      </c>
      <c r="O22" s="210"/>
      <c r="P22" s="191"/>
      <c r="Q22" s="191"/>
      <c r="R22" s="191"/>
      <c r="S22" s="191"/>
      <c r="T22" s="229"/>
      <c r="U22" s="230"/>
      <c r="V22" s="230"/>
      <c r="W22" s="230"/>
      <c r="X22" s="230"/>
      <c r="Y22" s="231"/>
      <c r="Z22" s="250"/>
      <c r="AA22" s="251"/>
      <c r="AB22" s="251"/>
      <c r="AC22" s="251"/>
      <c r="AD22" s="251"/>
      <c r="AE22" s="251"/>
      <c r="AF22" s="251"/>
      <c r="AG22" s="259"/>
      <c r="AH22" s="263"/>
      <c r="AI22" s="264"/>
      <c r="AJ22" s="264"/>
      <c r="AK22" s="264"/>
      <c r="AL22" s="264"/>
      <c r="AM22" s="264"/>
      <c r="AN22" s="264"/>
      <c r="AO22" s="264"/>
      <c r="AP22" s="232"/>
      <c r="AQ22" s="230"/>
      <c r="AR22" s="230"/>
      <c r="AS22" s="230"/>
      <c r="AT22" s="230"/>
      <c r="AU22" s="230"/>
      <c r="AV22" s="233"/>
      <c r="AY22" s="180"/>
      <c r="AZ22" s="180"/>
      <c r="BA22" s="180"/>
      <c r="BB22" s="203"/>
      <c r="BC22" s="206"/>
      <c r="BD22" s="180"/>
      <c r="BE22" s="180"/>
      <c r="BF22" s="180"/>
      <c r="BG22" s="180"/>
      <c r="BH22" s="180"/>
      <c r="BI22" s="167"/>
      <c r="BK22" s="180"/>
      <c r="BL22" s="180"/>
      <c r="BM22" s="180"/>
      <c r="BN22" s="180"/>
      <c r="BO22" s="180"/>
      <c r="BP22" s="180"/>
      <c r="BQ22" s="180"/>
    </row>
    <row r="23" spans="1:69" s="162" customFormat="1" ht="13.5">
      <c r="A23" s="179"/>
      <c r="B23" s="188"/>
      <c r="C23" s="189"/>
      <c r="D23" s="189"/>
      <c r="E23" s="189"/>
      <c r="F23" s="189"/>
      <c r="G23" s="189"/>
      <c r="H23" s="190"/>
      <c r="I23" s="234"/>
      <c r="J23" s="237"/>
      <c r="K23" s="191"/>
      <c r="L23" s="191"/>
      <c r="M23" s="191"/>
      <c r="N23" s="191"/>
      <c r="O23" s="191"/>
      <c r="P23" s="191"/>
      <c r="Q23" s="191"/>
      <c r="R23" s="191"/>
      <c r="S23" s="191"/>
      <c r="T23" s="229"/>
      <c r="U23" s="238"/>
      <c r="V23" s="238"/>
      <c r="W23" s="238"/>
      <c r="X23" s="238"/>
      <c r="Y23" s="239"/>
      <c r="Z23" s="250"/>
      <c r="AA23" s="251"/>
      <c r="AB23" s="251"/>
      <c r="AC23" s="251"/>
      <c r="AD23" s="251"/>
      <c r="AE23" s="251"/>
      <c r="AF23" s="251"/>
      <c r="AG23" s="259"/>
      <c r="AH23" s="263"/>
      <c r="AI23" s="264"/>
      <c r="AJ23" s="264"/>
      <c r="AK23" s="264"/>
      <c r="AL23" s="264"/>
      <c r="AM23" s="264"/>
      <c r="AN23" s="264"/>
      <c r="AO23" s="264"/>
      <c r="AP23" s="232"/>
      <c r="AQ23" s="230"/>
      <c r="AR23" s="230"/>
      <c r="AS23" s="230"/>
      <c r="AT23" s="230"/>
      <c r="AU23" s="230"/>
      <c r="AV23" s="233"/>
      <c r="AY23" s="180"/>
      <c r="AZ23" s="180"/>
      <c r="BA23" s="180"/>
      <c r="BB23" s="203"/>
      <c r="BC23" s="206"/>
      <c r="BD23" s="180"/>
      <c r="BE23" s="180"/>
      <c r="BF23" s="180"/>
      <c r="BG23" s="180"/>
      <c r="BH23" s="180"/>
      <c r="BI23" s="167"/>
      <c r="BK23" s="180"/>
      <c r="BL23" s="180"/>
      <c r="BM23" s="180"/>
      <c r="BN23" s="180"/>
      <c r="BO23" s="180"/>
      <c r="BP23" s="180"/>
      <c r="BQ23" s="180"/>
    </row>
    <row r="24" spans="1:69" s="162" customFormat="1" ht="13.5">
      <c r="A24" s="179">
        <v>4</v>
      </c>
      <c r="B24" s="188"/>
      <c r="C24" s="189"/>
      <c r="D24" s="189"/>
      <c r="E24" s="189"/>
      <c r="F24" s="189"/>
      <c r="G24" s="189"/>
      <c r="H24" s="190"/>
      <c r="I24" s="234"/>
      <c r="J24" s="237"/>
      <c r="K24" s="191"/>
      <c r="L24" s="191"/>
      <c r="M24" s="191"/>
      <c r="N24" s="191"/>
      <c r="O24" s="191"/>
      <c r="P24" s="191"/>
      <c r="Q24" s="191"/>
      <c r="R24" s="191"/>
      <c r="S24" s="191"/>
      <c r="T24" s="229"/>
      <c r="U24" s="238"/>
      <c r="V24" s="238"/>
      <c r="W24" s="238"/>
      <c r="X24" s="238"/>
      <c r="Y24" s="239"/>
      <c r="Z24" s="252"/>
      <c r="AA24" s="253"/>
      <c r="AB24" s="253"/>
      <c r="AC24" s="253"/>
      <c r="AD24" s="253"/>
      <c r="AE24" s="253"/>
      <c r="AF24" s="253"/>
      <c r="AG24" s="260"/>
      <c r="AH24" s="263"/>
      <c r="AI24" s="264"/>
      <c r="AJ24" s="264"/>
      <c r="AK24" s="264"/>
      <c r="AL24" s="264"/>
      <c r="AM24" s="264"/>
      <c r="AN24" s="264"/>
      <c r="AO24" s="264"/>
      <c r="AP24" s="232"/>
      <c r="AQ24" s="230"/>
      <c r="AR24" s="230"/>
      <c r="AS24" s="230"/>
      <c r="AT24" s="230"/>
      <c r="AU24" s="230"/>
      <c r="AV24" s="233"/>
      <c r="AY24" s="180"/>
      <c r="AZ24" s="180"/>
      <c r="BA24" s="180"/>
      <c r="BB24" s="203"/>
      <c r="BC24" s="206"/>
      <c r="BD24" s="180"/>
      <c r="BE24" s="180"/>
      <c r="BF24" s="180"/>
      <c r="BG24" s="180"/>
      <c r="BH24" s="180"/>
      <c r="BI24" s="167"/>
      <c r="BK24" s="180"/>
      <c r="BL24" s="180"/>
      <c r="BM24" s="180"/>
      <c r="BN24" s="180"/>
      <c r="BO24" s="180"/>
      <c r="BP24" s="180"/>
      <c r="BQ24" s="180"/>
    </row>
    <row r="25" spans="1:69" ht="13.5" customHeight="1">
      <c r="A25" s="185">
        <v>3</v>
      </c>
      <c r="B25" s="186" t="s">
        <v>736</v>
      </c>
      <c r="C25" s="187"/>
      <c r="D25" s="187"/>
      <c r="E25" s="187"/>
      <c r="F25" s="187"/>
      <c r="G25" s="187"/>
      <c r="H25" s="187"/>
      <c r="I25" s="187"/>
      <c r="J25" s="187"/>
      <c r="K25" s="187"/>
      <c r="L25" s="187"/>
      <c r="M25" s="187"/>
      <c r="N25" s="187"/>
      <c r="O25" s="187"/>
      <c r="P25" s="187"/>
      <c r="Q25" s="187"/>
      <c r="R25" s="187"/>
      <c r="S25" s="194"/>
      <c r="T25" s="175"/>
      <c r="U25" s="175"/>
      <c r="V25" s="175"/>
      <c r="W25" s="175"/>
      <c r="X25" s="175"/>
      <c r="Y25" s="175"/>
      <c r="Z25" s="175"/>
      <c r="AA25" s="175"/>
      <c r="AB25" s="175"/>
      <c r="AC25" s="175"/>
      <c r="AD25" s="175"/>
      <c r="AE25" s="175"/>
      <c r="AF25" s="175"/>
      <c r="AG25" s="175"/>
      <c r="AH25" s="240"/>
      <c r="AI25" s="240"/>
      <c r="AJ25" s="240"/>
      <c r="AK25" s="240"/>
      <c r="AL25" s="240"/>
      <c r="AM25" s="240"/>
      <c r="AN25" s="240"/>
      <c r="AO25" s="240"/>
      <c r="AP25" s="175"/>
      <c r="AQ25" s="175"/>
      <c r="AR25" s="175"/>
      <c r="AS25" s="175"/>
      <c r="AT25" s="175"/>
      <c r="AU25" s="175"/>
      <c r="AV25" s="200"/>
      <c r="AY25" s="177"/>
      <c r="AZ25" s="177"/>
      <c r="BA25" s="177"/>
      <c r="BB25" s="201"/>
      <c r="BC25" s="205"/>
      <c r="BD25" s="205"/>
      <c r="BE25" s="205"/>
      <c r="BF25" s="205"/>
      <c r="BG25" s="205"/>
      <c r="BH25" s="205"/>
      <c r="BJ25" s="168"/>
      <c r="BK25" s="177"/>
      <c r="BL25" s="178"/>
      <c r="BM25" s="177"/>
      <c r="BN25" s="177"/>
      <c r="BO25" s="177"/>
      <c r="BP25" s="177"/>
      <c r="BQ25" s="177"/>
    </row>
    <row r="26" spans="1:69" ht="13.5">
      <c r="A26" s="179">
        <v>1</v>
      </c>
      <c r="B26" s="188"/>
      <c r="C26" s="189"/>
      <c r="D26" s="189"/>
      <c r="E26" s="189"/>
      <c r="F26" s="189"/>
      <c r="G26" s="189"/>
      <c r="H26" s="190"/>
      <c r="I26" s="234"/>
      <c r="J26" s="254"/>
      <c r="K26" s="191"/>
      <c r="L26" s="191"/>
      <c r="M26" s="191"/>
      <c r="N26" s="191"/>
      <c r="O26" s="191"/>
      <c r="P26" s="191"/>
      <c r="Q26" s="191"/>
      <c r="R26" s="191"/>
      <c r="S26" s="191"/>
      <c r="T26" s="229"/>
      <c r="U26" s="238"/>
      <c r="V26" s="238"/>
      <c r="W26" s="238"/>
      <c r="X26" s="238"/>
      <c r="Y26" s="239"/>
      <c r="Z26" s="241"/>
      <c r="AA26" s="242"/>
      <c r="AB26" s="242"/>
      <c r="AC26" s="242"/>
      <c r="AD26" s="242"/>
      <c r="AE26" s="242"/>
      <c r="AF26" s="242"/>
      <c r="AG26" s="243"/>
      <c r="AH26" s="250"/>
      <c r="AI26" s="251"/>
      <c r="AJ26" s="251"/>
      <c r="AK26" s="251"/>
      <c r="AL26" s="251"/>
      <c r="AM26" s="251"/>
      <c r="AN26" s="251"/>
      <c r="AO26" s="251"/>
      <c r="AP26" s="232"/>
      <c r="AQ26" s="230"/>
      <c r="AR26" s="230"/>
      <c r="AS26" s="230"/>
      <c r="AT26" s="230"/>
      <c r="AU26" s="230"/>
      <c r="AV26" s="233"/>
      <c r="AY26" s="180"/>
      <c r="AZ26" s="180"/>
      <c r="BA26" s="181"/>
      <c r="BB26" s="203"/>
      <c r="BC26" s="180"/>
      <c r="BD26" s="180"/>
      <c r="BE26" s="181"/>
      <c r="BF26" s="181"/>
      <c r="BG26" s="181"/>
      <c r="BH26" s="181"/>
      <c r="BK26" s="181"/>
      <c r="BL26" s="181"/>
      <c r="BM26" s="181"/>
      <c r="BN26" s="181"/>
      <c r="BO26" s="181"/>
      <c r="BP26" s="181"/>
      <c r="BQ26" s="181"/>
    </row>
    <row r="27" spans="1:69" ht="13.5">
      <c r="A27" s="179">
        <v>2</v>
      </c>
      <c r="B27" s="188"/>
      <c r="C27" s="189"/>
      <c r="D27" s="189"/>
      <c r="E27" s="189"/>
      <c r="F27" s="189"/>
      <c r="G27" s="189"/>
      <c r="H27" s="190"/>
      <c r="I27" s="234"/>
      <c r="J27" s="254"/>
      <c r="K27" s="191"/>
      <c r="L27" s="191"/>
      <c r="M27" s="191"/>
      <c r="N27" s="191"/>
      <c r="O27" s="191"/>
      <c r="P27" s="191"/>
      <c r="Q27" s="191"/>
      <c r="R27" s="191"/>
      <c r="S27" s="191"/>
      <c r="T27" s="229"/>
      <c r="U27" s="230"/>
      <c r="V27" s="230"/>
      <c r="W27" s="230"/>
      <c r="X27" s="230"/>
      <c r="Y27" s="231"/>
      <c r="Z27" s="244"/>
      <c r="AA27" s="245"/>
      <c r="AB27" s="245"/>
      <c r="AC27" s="245"/>
      <c r="AD27" s="245"/>
      <c r="AE27" s="245"/>
      <c r="AF27" s="245"/>
      <c r="AG27" s="246"/>
      <c r="AH27" s="250"/>
      <c r="AI27" s="251"/>
      <c r="AJ27" s="251"/>
      <c r="AK27" s="251"/>
      <c r="AL27" s="251"/>
      <c r="AM27" s="251"/>
      <c r="AN27" s="251"/>
      <c r="AO27" s="251"/>
      <c r="AP27" s="232"/>
      <c r="AQ27" s="230"/>
      <c r="AR27" s="230"/>
      <c r="AS27" s="230"/>
      <c r="AT27" s="230"/>
      <c r="AU27" s="230"/>
      <c r="AV27" s="233"/>
      <c r="AY27" s="180"/>
      <c r="AZ27" s="180"/>
      <c r="BA27" s="181"/>
      <c r="BB27" s="203"/>
      <c r="BC27" s="180"/>
      <c r="BD27" s="180"/>
      <c r="BE27" s="181"/>
      <c r="BF27" s="181"/>
      <c r="BG27" s="181"/>
      <c r="BH27" s="181"/>
      <c r="BK27" s="181"/>
      <c r="BL27" s="181"/>
      <c r="BM27" s="181"/>
      <c r="BN27" s="181"/>
      <c r="BO27" s="181"/>
      <c r="BP27" s="181"/>
      <c r="BQ27" s="181"/>
    </row>
    <row r="28" spans="1:69" ht="13.5">
      <c r="A28" s="179">
        <v>3</v>
      </c>
      <c r="B28" s="188"/>
      <c r="C28" s="189"/>
      <c r="D28" s="189"/>
      <c r="E28" s="189"/>
      <c r="F28" s="189"/>
      <c r="G28" s="189"/>
      <c r="H28" s="190"/>
      <c r="I28" s="234"/>
      <c r="J28" s="254"/>
      <c r="K28" s="191"/>
      <c r="L28" s="191"/>
      <c r="M28" s="191"/>
      <c r="N28" s="191"/>
      <c r="O28" s="191"/>
      <c r="P28" s="191"/>
      <c r="Q28" s="191"/>
      <c r="R28" s="191"/>
      <c r="S28" s="191"/>
      <c r="T28" s="229"/>
      <c r="U28" s="230"/>
      <c r="V28" s="230"/>
      <c r="W28" s="230"/>
      <c r="X28" s="230"/>
      <c r="Y28" s="231"/>
      <c r="Z28" s="244"/>
      <c r="AA28" s="245"/>
      <c r="AB28" s="245"/>
      <c r="AC28" s="245"/>
      <c r="AD28" s="245"/>
      <c r="AE28" s="245"/>
      <c r="AF28" s="245"/>
      <c r="AG28" s="246"/>
      <c r="AH28" s="250"/>
      <c r="AI28" s="251"/>
      <c r="AJ28" s="251"/>
      <c r="AK28" s="251"/>
      <c r="AL28" s="251"/>
      <c r="AM28" s="251"/>
      <c r="AN28" s="251"/>
      <c r="AO28" s="251"/>
      <c r="AP28" s="232"/>
      <c r="AQ28" s="230"/>
      <c r="AR28" s="230"/>
      <c r="AS28" s="230"/>
      <c r="AT28" s="230"/>
      <c r="AU28" s="230"/>
      <c r="AV28" s="233"/>
      <c r="AY28" s="180"/>
      <c r="AZ28" s="181"/>
      <c r="BA28" s="180"/>
      <c r="BB28" s="203"/>
      <c r="BC28" s="180"/>
      <c r="BD28" s="181"/>
      <c r="BE28" s="180"/>
      <c r="BF28" s="181"/>
      <c r="BG28" s="181"/>
      <c r="BH28" s="181"/>
      <c r="BK28" s="181"/>
      <c r="BL28" s="181"/>
      <c r="BM28" s="181"/>
      <c r="BN28" s="181"/>
      <c r="BO28" s="181"/>
      <c r="BP28" s="181"/>
      <c r="BQ28" s="181"/>
    </row>
    <row r="29" spans="1:69" ht="13.5">
      <c r="A29" s="179">
        <v>4</v>
      </c>
      <c r="B29" s="188"/>
      <c r="C29" s="189"/>
      <c r="D29" s="189"/>
      <c r="E29" s="189"/>
      <c r="F29" s="189"/>
      <c r="G29" s="189"/>
      <c r="H29" s="190"/>
      <c r="I29" s="234"/>
      <c r="J29" s="254"/>
      <c r="K29" s="191"/>
      <c r="L29" s="191"/>
      <c r="M29" s="191"/>
      <c r="N29" s="191"/>
      <c r="O29" s="191"/>
      <c r="P29" s="191"/>
      <c r="Q29" s="191"/>
      <c r="R29" s="191"/>
      <c r="S29" s="191"/>
      <c r="T29" s="229"/>
      <c r="U29" s="230"/>
      <c r="V29" s="230"/>
      <c r="W29" s="230"/>
      <c r="X29" s="230"/>
      <c r="Y29" s="231"/>
      <c r="Z29" s="244"/>
      <c r="AA29" s="245"/>
      <c r="AB29" s="245"/>
      <c r="AC29" s="245"/>
      <c r="AD29" s="245"/>
      <c r="AE29" s="245"/>
      <c r="AF29" s="245"/>
      <c r="AG29" s="246"/>
      <c r="AH29" s="250"/>
      <c r="AI29" s="251"/>
      <c r="AJ29" s="251"/>
      <c r="AK29" s="251"/>
      <c r="AL29" s="251"/>
      <c r="AM29" s="251"/>
      <c r="AN29" s="251"/>
      <c r="AO29" s="251"/>
      <c r="AP29" s="232"/>
      <c r="AQ29" s="230"/>
      <c r="AR29" s="230"/>
      <c r="AS29" s="230"/>
      <c r="AT29" s="230"/>
      <c r="AU29" s="230"/>
      <c r="AV29" s="233"/>
      <c r="AY29" s="180"/>
      <c r="AZ29" s="181"/>
      <c r="BA29" s="180"/>
      <c r="BB29" s="203"/>
      <c r="BC29" s="180"/>
      <c r="BD29" s="181"/>
      <c r="BE29" s="180"/>
      <c r="BF29" s="181"/>
      <c r="BG29" s="181"/>
      <c r="BH29" s="181"/>
      <c r="BK29" s="181"/>
      <c r="BL29" s="181"/>
      <c r="BM29" s="181"/>
      <c r="BN29" s="181"/>
      <c r="BO29" s="181"/>
      <c r="BP29" s="181"/>
      <c r="BQ29" s="181"/>
    </row>
    <row r="30" spans="1:69" ht="13.5">
      <c r="A30" s="179">
        <v>5</v>
      </c>
      <c r="B30" s="188"/>
      <c r="C30" s="189"/>
      <c r="D30" s="189"/>
      <c r="E30" s="189"/>
      <c r="F30" s="189"/>
      <c r="G30" s="189"/>
      <c r="H30" s="190"/>
      <c r="I30" s="234"/>
      <c r="J30" s="235"/>
      <c r="K30" s="191"/>
      <c r="L30" s="191"/>
      <c r="M30" s="191"/>
      <c r="N30" s="191"/>
      <c r="O30" s="191"/>
      <c r="P30" s="191"/>
      <c r="Q30" s="191"/>
      <c r="R30" s="191"/>
      <c r="S30" s="191"/>
      <c r="T30" s="229"/>
      <c r="U30" s="230"/>
      <c r="V30" s="230"/>
      <c r="W30" s="230"/>
      <c r="X30" s="230"/>
      <c r="Y30" s="231"/>
      <c r="Z30" s="244"/>
      <c r="AA30" s="245"/>
      <c r="AB30" s="245"/>
      <c r="AC30" s="245"/>
      <c r="AD30" s="245"/>
      <c r="AE30" s="245"/>
      <c r="AF30" s="245"/>
      <c r="AG30" s="246"/>
      <c r="AH30" s="250"/>
      <c r="AI30" s="251"/>
      <c r="AJ30" s="251"/>
      <c r="AK30" s="251"/>
      <c r="AL30" s="251"/>
      <c r="AM30" s="251"/>
      <c r="AN30" s="251"/>
      <c r="AO30" s="251"/>
      <c r="AP30" s="232"/>
      <c r="AQ30" s="230"/>
      <c r="AR30" s="230"/>
      <c r="AS30" s="230"/>
      <c r="AT30" s="230"/>
      <c r="AU30" s="230"/>
      <c r="AV30" s="233"/>
      <c r="AY30" s="180"/>
      <c r="AZ30" s="180"/>
      <c r="BA30" s="180"/>
      <c r="BB30" s="203"/>
      <c r="BC30" s="180"/>
      <c r="BD30" s="180"/>
      <c r="BE30" s="180"/>
      <c r="BF30" s="180"/>
      <c r="BG30" s="180"/>
      <c r="BH30" s="180"/>
      <c r="BK30" s="181"/>
      <c r="BL30" s="181"/>
      <c r="BM30" s="181"/>
      <c r="BN30" s="181"/>
      <c r="BO30" s="181"/>
      <c r="BP30" s="181"/>
      <c r="BQ30" s="181"/>
    </row>
    <row r="31" spans="1:69" ht="13.5">
      <c r="A31" s="179">
        <v>6</v>
      </c>
      <c r="B31" s="188"/>
      <c r="C31" s="189"/>
      <c r="D31" s="189"/>
      <c r="E31" s="189"/>
      <c r="F31" s="189"/>
      <c r="G31" s="189"/>
      <c r="H31" s="190"/>
      <c r="I31" s="234"/>
      <c r="J31" s="254"/>
      <c r="K31" s="191"/>
      <c r="L31" s="191"/>
      <c r="M31" s="191"/>
      <c r="N31" s="212"/>
      <c r="O31" s="191"/>
      <c r="P31" s="210"/>
      <c r="Q31" s="212"/>
      <c r="R31" s="191"/>
      <c r="S31" s="191"/>
      <c r="T31" s="229"/>
      <c r="U31" s="230"/>
      <c r="V31" s="230"/>
      <c r="W31" s="230"/>
      <c r="X31" s="230"/>
      <c r="Y31" s="231"/>
      <c r="Z31" s="244"/>
      <c r="AA31" s="245"/>
      <c r="AB31" s="245"/>
      <c r="AC31" s="245"/>
      <c r="AD31" s="245"/>
      <c r="AE31" s="245"/>
      <c r="AF31" s="245"/>
      <c r="AG31" s="246"/>
      <c r="AH31" s="250"/>
      <c r="AI31" s="251"/>
      <c r="AJ31" s="251"/>
      <c r="AK31" s="251"/>
      <c r="AL31" s="251"/>
      <c r="AM31" s="251"/>
      <c r="AN31" s="251"/>
      <c r="AO31" s="251"/>
      <c r="AP31" s="232"/>
      <c r="AQ31" s="230"/>
      <c r="AR31" s="230"/>
      <c r="AS31" s="230"/>
      <c r="AT31" s="230"/>
      <c r="AU31" s="230"/>
      <c r="AV31" s="233"/>
      <c r="AY31" s="180"/>
      <c r="AZ31" s="180"/>
      <c r="BA31" s="180"/>
      <c r="BB31" s="203"/>
      <c r="BC31" s="180"/>
      <c r="BD31" s="180"/>
      <c r="BE31" s="180"/>
      <c r="BF31" s="180"/>
      <c r="BG31" s="180"/>
      <c r="BH31" s="180"/>
      <c r="BK31" s="181"/>
      <c r="BL31" s="181"/>
      <c r="BM31" s="181"/>
      <c r="BN31" s="181"/>
      <c r="BO31" s="181"/>
      <c r="BP31" s="181"/>
      <c r="BQ31" s="181"/>
    </row>
    <row r="32" spans="1:69" ht="13.5">
      <c r="A32" s="179">
        <v>7</v>
      </c>
      <c r="B32" s="188"/>
      <c r="C32" s="189"/>
      <c r="D32" s="189"/>
      <c r="E32" s="189"/>
      <c r="F32" s="189"/>
      <c r="G32" s="189"/>
      <c r="H32" s="190"/>
      <c r="I32" s="234"/>
      <c r="J32" s="235"/>
      <c r="K32" s="191"/>
      <c r="L32" s="191"/>
      <c r="M32" s="191"/>
      <c r="N32" s="191"/>
      <c r="O32" s="191"/>
      <c r="P32" s="191"/>
      <c r="Q32" s="191"/>
      <c r="R32" s="191"/>
      <c r="S32" s="191"/>
      <c r="T32" s="229"/>
      <c r="U32" s="230"/>
      <c r="V32" s="230"/>
      <c r="W32" s="230"/>
      <c r="X32" s="230"/>
      <c r="Y32" s="231"/>
      <c r="Z32" s="244"/>
      <c r="AA32" s="245"/>
      <c r="AB32" s="245"/>
      <c r="AC32" s="245"/>
      <c r="AD32" s="245"/>
      <c r="AE32" s="245"/>
      <c r="AF32" s="245"/>
      <c r="AG32" s="246"/>
      <c r="AH32" s="250"/>
      <c r="AI32" s="251"/>
      <c r="AJ32" s="251"/>
      <c r="AK32" s="251"/>
      <c r="AL32" s="251"/>
      <c r="AM32" s="251"/>
      <c r="AN32" s="251"/>
      <c r="AO32" s="251"/>
      <c r="AP32" s="232"/>
      <c r="AQ32" s="230"/>
      <c r="AR32" s="230"/>
      <c r="AS32" s="230"/>
      <c r="AT32" s="230"/>
      <c r="AU32" s="230"/>
      <c r="AV32" s="233"/>
      <c r="AY32" s="180"/>
      <c r="AZ32" s="180"/>
      <c r="BA32" s="180"/>
      <c r="BB32" s="203"/>
      <c r="BC32" s="180"/>
      <c r="BD32" s="180"/>
      <c r="BE32" s="180"/>
      <c r="BF32" s="180"/>
      <c r="BG32" s="180"/>
      <c r="BH32" s="180"/>
      <c r="BI32" s="198"/>
      <c r="BK32" s="181"/>
      <c r="BL32" s="181"/>
      <c r="BM32" s="181"/>
      <c r="BN32" s="181"/>
      <c r="BO32" s="181"/>
      <c r="BP32" s="181"/>
      <c r="BQ32" s="181"/>
    </row>
    <row r="33" spans="1:69" ht="13.5">
      <c r="A33" s="179">
        <v>8</v>
      </c>
      <c r="B33" s="188"/>
      <c r="C33" s="189"/>
      <c r="D33" s="189"/>
      <c r="E33" s="189"/>
      <c r="F33" s="189"/>
      <c r="G33" s="189"/>
      <c r="H33" s="190"/>
      <c r="I33" s="234"/>
      <c r="J33" s="235"/>
      <c r="K33" s="191"/>
      <c r="L33" s="191"/>
      <c r="M33" s="191"/>
      <c r="N33" s="191"/>
      <c r="O33" s="191"/>
      <c r="P33" s="191"/>
      <c r="Q33" s="191"/>
      <c r="R33" s="191"/>
      <c r="S33" s="213"/>
      <c r="T33" s="229"/>
      <c r="U33" s="230"/>
      <c r="V33" s="230"/>
      <c r="W33" s="230"/>
      <c r="X33" s="230"/>
      <c r="Y33" s="231"/>
      <c r="Z33" s="244"/>
      <c r="AA33" s="245"/>
      <c r="AB33" s="245"/>
      <c r="AC33" s="245"/>
      <c r="AD33" s="245"/>
      <c r="AE33" s="245"/>
      <c r="AF33" s="245"/>
      <c r="AG33" s="246"/>
      <c r="AH33" s="250"/>
      <c r="AI33" s="251"/>
      <c r="AJ33" s="251"/>
      <c r="AK33" s="251"/>
      <c r="AL33" s="251"/>
      <c r="AM33" s="251"/>
      <c r="AN33" s="251"/>
      <c r="AO33" s="251"/>
      <c r="AP33" s="232"/>
      <c r="AQ33" s="230"/>
      <c r="AR33" s="230"/>
      <c r="AS33" s="230"/>
      <c r="AT33" s="230"/>
      <c r="AU33" s="230"/>
      <c r="AV33" s="233"/>
      <c r="AY33" s="180"/>
      <c r="AZ33" s="180"/>
      <c r="BA33" s="180"/>
      <c r="BB33" s="203"/>
      <c r="BC33" s="180"/>
      <c r="BD33" s="180"/>
      <c r="BE33" s="180"/>
      <c r="BF33" s="180"/>
      <c r="BG33" s="180"/>
      <c r="BH33" s="180"/>
      <c r="BI33" s="198"/>
      <c r="BK33" s="181"/>
      <c r="BL33" s="181"/>
      <c r="BM33" s="181"/>
      <c r="BN33" s="181"/>
      <c r="BO33" s="181"/>
      <c r="BP33" s="181"/>
      <c r="BQ33" s="181"/>
    </row>
    <row r="34" spans="1:69" ht="13.5">
      <c r="A34" s="179">
        <v>10</v>
      </c>
      <c r="B34" s="188"/>
      <c r="C34" s="189"/>
      <c r="D34" s="189"/>
      <c r="E34" s="189"/>
      <c r="F34" s="189"/>
      <c r="G34" s="189"/>
      <c r="H34" s="190"/>
      <c r="I34" s="234"/>
      <c r="J34" s="237"/>
      <c r="K34" s="191"/>
      <c r="L34" s="191"/>
      <c r="M34" s="191"/>
      <c r="N34" s="191"/>
      <c r="O34" s="191"/>
      <c r="P34" s="191"/>
      <c r="Q34" s="191"/>
      <c r="R34" s="191"/>
      <c r="S34" s="191"/>
      <c r="T34" s="229"/>
      <c r="U34" s="238"/>
      <c r="V34" s="238"/>
      <c r="W34" s="238"/>
      <c r="X34" s="238"/>
      <c r="Y34" s="239"/>
      <c r="Z34" s="244"/>
      <c r="AA34" s="245"/>
      <c r="AB34" s="245"/>
      <c r="AC34" s="245"/>
      <c r="AD34" s="245"/>
      <c r="AE34" s="245"/>
      <c r="AF34" s="245"/>
      <c r="AG34" s="246"/>
      <c r="AH34" s="250"/>
      <c r="AI34" s="251"/>
      <c r="AJ34" s="251"/>
      <c r="AK34" s="251"/>
      <c r="AL34" s="251"/>
      <c r="AM34" s="251"/>
      <c r="AN34" s="251"/>
      <c r="AO34" s="251"/>
      <c r="AP34" s="232"/>
      <c r="AQ34" s="230"/>
      <c r="AR34" s="230"/>
      <c r="AS34" s="230"/>
      <c r="AT34" s="230"/>
      <c r="AU34" s="230"/>
      <c r="AV34" s="233"/>
      <c r="AY34" s="180"/>
      <c r="AZ34" s="181"/>
      <c r="BA34" s="180"/>
      <c r="BB34" s="203"/>
      <c r="BC34" s="180"/>
      <c r="BD34" s="181"/>
      <c r="BE34" s="180"/>
      <c r="BF34" s="180"/>
      <c r="BG34" s="180"/>
      <c r="BH34" s="180"/>
      <c r="BI34" s="198"/>
      <c r="BK34" s="181"/>
      <c r="BL34" s="181"/>
      <c r="BM34" s="181"/>
      <c r="BN34" s="181"/>
      <c r="BO34" s="181"/>
      <c r="BP34" s="181"/>
      <c r="BQ34" s="181"/>
    </row>
    <row r="35" spans="1:69" ht="16.5" customHeight="1">
      <c r="A35" s="179">
        <v>11</v>
      </c>
      <c r="B35" s="188"/>
      <c r="C35" s="189"/>
      <c r="D35" s="189"/>
      <c r="E35" s="189"/>
      <c r="F35" s="189"/>
      <c r="G35" s="189"/>
      <c r="H35" s="190"/>
      <c r="I35" s="234"/>
      <c r="J35" s="237"/>
      <c r="K35" s="191"/>
      <c r="L35" s="191"/>
      <c r="M35" s="191"/>
      <c r="N35" s="191"/>
      <c r="O35" s="191"/>
      <c r="P35" s="191"/>
      <c r="Q35" s="191"/>
      <c r="R35" s="191"/>
      <c r="S35" s="191"/>
      <c r="T35" s="229"/>
      <c r="U35" s="238"/>
      <c r="V35" s="238"/>
      <c r="W35" s="238"/>
      <c r="X35" s="238"/>
      <c r="Y35" s="239"/>
      <c r="Z35" s="244"/>
      <c r="AA35" s="245"/>
      <c r="AB35" s="245"/>
      <c r="AC35" s="245"/>
      <c r="AD35" s="245"/>
      <c r="AE35" s="245"/>
      <c r="AF35" s="245"/>
      <c r="AG35" s="246"/>
      <c r="AH35" s="250"/>
      <c r="AI35" s="251"/>
      <c r="AJ35" s="251"/>
      <c r="AK35" s="251"/>
      <c r="AL35" s="251"/>
      <c r="AM35" s="251"/>
      <c r="AN35" s="251"/>
      <c r="AO35" s="251"/>
      <c r="AP35" s="232"/>
      <c r="AQ35" s="230"/>
      <c r="AR35" s="230"/>
      <c r="AS35" s="230"/>
      <c r="AT35" s="230"/>
      <c r="AU35" s="230"/>
      <c r="AV35" s="233"/>
      <c r="AY35" s="180"/>
      <c r="AZ35" s="181"/>
      <c r="BA35" s="180"/>
      <c r="BB35" s="203"/>
      <c r="BC35" s="180"/>
      <c r="BD35" s="181"/>
      <c r="BE35" s="180"/>
      <c r="BF35" s="180"/>
      <c r="BG35" s="180"/>
      <c r="BH35" s="180"/>
      <c r="BI35" s="198"/>
      <c r="BK35" s="181"/>
      <c r="BL35" s="181"/>
      <c r="BM35" s="181"/>
      <c r="BN35" s="181"/>
      <c r="BO35" s="181"/>
      <c r="BP35" s="181"/>
      <c r="BQ35" s="181"/>
    </row>
    <row r="36" spans="1:69" ht="16.5" customHeight="1">
      <c r="A36" s="179">
        <v>12</v>
      </c>
      <c r="B36" s="188"/>
      <c r="C36" s="189"/>
      <c r="D36" s="189"/>
      <c r="E36" s="189"/>
      <c r="F36" s="189"/>
      <c r="G36" s="189"/>
      <c r="H36" s="190"/>
      <c r="I36" s="236"/>
      <c r="J36" s="237"/>
      <c r="K36" s="189"/>
      <c r="L36" s="191"/>
      <c r="M36" s="191"/>
      <c r="N36" s="191"/>
      <c r="O36" s="191"/>
      <c r="P36" s="191"/>
      <c r="Q36" s="191"/>
      <c r="R36" s="191"/>
      <c r="S36" s="214"/>
      <c r="T36" s="229"/>
      <c r="U36" s="238"/>
      <c r="V36" s="238"/>
      <c r="W36" s="238"/>
      <c r="X36" s="238"/>
      <c r="Y36" s="239"/>
      <c r="Z36" s="244"/>
      <c r="AA36" s="245"/>
      <c r="AB36" s="245"/>
      <c r="AC36" s="245"/>
      <c r="AD36" s="245"/>
      <c r="AE36" s="245"/>
      <c r="AF36" s="245"/>
      <c r="AG36" s="246"/>
      <c r="AH36" s="250"/>
      <c r="AI36" s="251"/>
      <c r="AJ36" s="251"/>
      <c r="AK36" s="251"/>
      <c r="AL36" s="251"/>
      <c r="AM36" s="251"/>
      <c r="AN36" s="251"/>
      <c r="AO36" s="251"/>
      <c r="AP36" s="232"/>
      <c r="AQ36" s="230"/>
      <c r="AR36" s="230"/>
      <c r="AS36" s="230"/>
      <c r="AT36" s="230"/>
      <c r="AU36" s="230"/>
      <c r="AV36" s="233"/>
      <c r="AY36" s="180"/>
      <c r="AZ36" s="181"/>
      <c r="BA36" s="180"/>
      <c r="BB36" s="203"/>
      <c r="BC36" s="180"/>
      <c r="BD36" s="181"/>
      <c r="BE36" s="180"/>
      <c r="BF36" s="180"/>
      <c r="BG36" s="180"/>
      <c r="BH36" s="180"/>
      <c r="BI36" s="198"/>
      <c r="BK36" s="181"/>
      <c r="BL36" s="181"/>
      <c r="BM36" s="181"/>
      <c r="BN36" s="181"/>
      <c r="BO36" s="181"/>
      <c r="BP36" s="181"/>
      <c r="BQ36" s="181"/>
    </row>
    <row r="37" spans="1:69" ht="16.5" customHeight="1">
      <c r="A37" s="179">
        <v>13</v>
      </c>
      <c r="B37" s="188"/>
      <c r="C37" s="189"/>
      <c r="D37" s="189"/>
      <c r="E37" s="189"/>
      <c r="F37" s="189"/>
      <c r="G37" s="189"/>
      <c r="H37" s="190"/>
      <c r="I37" s="234"/>
      <c r="J37" s="237"/>
      <c r="K37" s="191"/>
      <c r="L37" s="191"/>
      <c r="M37" s="191"/>
      <c r="N37" s="191"/>
      <c r="O37" s="191"/>
      <c r="P37" s="191"/>
      <c r="Q37" s="191"/>
      <c r="R37" s="191"/>
      <c r="S37" s="191"/>
      <c r="T37" s="229"/>
      <c r="U37" s="238"/>
      <c r="V37" s="238"/>
      <c r="W37" s="238"/>
      <c r="X37" s="238"/>
      <c r="Y37" s="239"/>
      <c r="Z37" s="244"/>
      <c r="AA37" s="245"/>
      <c r="AB37" s="245"/>
      <c r="AC37" s="245"/>
      <c r="AD37" s="245"/>
      <c r="AE37" s="245"/>
      <c r="AF37" s="245"/>
      <c r="AG37" s="246"/>
      <c r="AH37" s="250"/>
      <c r="AI37" s="251"/>
      <c r="AJ37" s="251"/>
      <c r="AK37" s="251"/>
      <c r="AL37" s="251"/>
      <c r="AM37" s="251"/>
      <c r="AN37" s="251"/>
      <c r="AO37" s="251"/>
      <c r="AP37" s="232"/>
      <c r="AQ37" s="230"/>
      <c r="AR37" s="230"/>
      <c r="AS37" s="230"/>
      <c r="AT37" s="230"/>
      <c r="AU37" s="230"/>
      <c r="AV37" s="233"/>
      <c r="AY37" s="180"/>
      <c r="AZ37" s="181"/>
      <c r="BA37" s="180"/>
      <c r="BB37" s="203"/>
      <c r="BC37" s="180"/>
      <c r="BD37" s="181"/>
      <c r="BE37" s="180"/>
      <c r="BF37" s="180"/>
      <c r="BG37" s="180"/>
      <c r="BH37" s="180"/>
      <c r="BI37" s="198"/>
      <c r="BK37" s="181"/>
      <c r="BL37" s="181"/>
      <c r="BM37" s="181"/>
      <c r="BN37" s="181"/>
      <c r="BO37" s="181"/>
      <c r="BP37" s="181"/>
      <c r="BQ37" s="181"/>
    </row>
    <row r="38" spans="1:69" ht="15.75" customHeight="1">
      <c r="A38" s="179">
        <v>14</v>
      </c>
      <c r="B38" s="188"/>
      <c r="C38" s="189"/>
      <c r="D38" s="189"/>
      <c r="E38" s="189"/>
      <c r="F38" s="189"/>
      <c r="G38" s="189"/>
      <c r="H38" s="190"/>
      <c r="I38" s="236"/>
      <c r="J38" s="237"/>
      <c r="K38" s="191"/>
      <c r="L38" s="191"/>
      <c r="M38" s="191"/>
      <c r="N38" s="191"/>
      <c r="O38" s="191"/>
      <c r="P38" s="191"/>
      <c r="Q38" s="191"/>
      <c r="R38" s="191"/>
      <c r="S38" s="191"/>
      <c r="T38" s="229"/>
      <c r="U38" s="238"/>
      <c r="V38" s="238"/>
      <c r="W38" s="238"/>
      <c r="X38" s="238"/>
      <c r="Y38" s="239"/>
      <c r="Z38" s="244"/>
      <c r="AA38" s="245"/>
      <c r="AB38" s="245"/>
      <c r="AC38" s="245"/>
      <c r="AD38" s="245"/>
      <c r="AE38" s="245"/>
      <c r="AF38" s="245"/>
      <c r="AG38" s="246"/>
      <c r="AH38" s="250"/>
      <c r="AI38" s="251"/>
      <c r="AJ38" s="251"/>
      <c r="AK38" s="251"/>
      <c r="AL38" s="251"/>
      <c r="AM38" s="251"/>
      <c r="AN38" s="251"/>
      <c r="AO38" s="251"/>
      <c r="AP38" s="232"/>
      <c r="AQ38" s="230"/>
      <c r="AR38" s="230"/>
      <c r="AS38" s="230"/>
      <c r="AT38" s="230"/>
      <c r="AU38" s="230"/>
      <c r="AV38" s="233"/>
      <c r="AY38" s="180"/>
      <c r="AZ38" s="181"/>
      <c r="BA38" s="180"/>
      <c r="BB38" s="203"/>
      <c r="BC38" s="180"/>
      <c r="BD38" s="181"/>
      <c r="BE38" s="180"/>
      <c r="BF38" s="180"/>
      <c r="BG38" s="180"/>
      <c r="BH38" s="180"/>
      <c r="BI38" s="198"/>
      <c r="BK38" s="181"/>
      <c r="BL38" s="181"/>
      <c r="BM38" s="181"/>
      <c r="BN38" s="181"/>
      <c r="BO38" s="181"/>
      <c r="BP38" s="181"/>
      <c r="BQ38" s="181"/>
    </row>
    <row r="39" spans="1:69" ht="33.75" customHeight="1">
      <c r="A39" s="179">
        <v>15</v>
      </c>
      <c r="B39" s="188"/>
      <c r="C39" s="189"/>
      <c r="D39" s="189"/>
      <c r="E39" s="189"/>
      <c r="F39" s="189"/>
      <c r="G39" s="189"/>
      <c r="H39" s="190"/>
      <c r="I39" s="236"/>
      <c r="J39" s="237"/>
      <c r="K39" s="191"/>
      <c r="L39" s="191"/>
      <c r="M39" s="191"/>
      <c r="N39" s="191"/>
      <c r="O39" s="191"/>
      <c r="P39" s="191"/>
      <c r="Q39" s="191"/>
      <c r="R39" s="191"/>
      <c r="S39" s="210"/>
      <c r="T39" s="229"/>
      <c r="U39" s="238"/>
      <c r="V39" s="238"/>
      <c r="W39" s="238"/>
      <c r="X39" s="238"/>
      <c r="Y39" s="239"/>
      <c r="Z39" s="244"/>
      <c r="AA39" s="245"/>
      <c r="AB39" s="245"/>
      <c r="AC39" s="245"/>
      <c r="AD39" s="245"/>
      <c r="AE39" s="245"/>
      <c r="AF39" s="245"/>
      <c r="AG39" s="246"/>
      <c r="AH39" s="250"/>
      <c r="AI39" s="251"/>
      <c r="AJ39" s="251"/>
      <c r="AK39" s="251"/>
      <c r="AL39" s="251"/>
      <c r="AM39" s="251"/>
      <c r="AN39" s="251"/>
      <c r="AO39" s="251"/>
      <c r="AP39" s="232"/>
      <c r="AQ39" s="230"/>
      <c r="AR39" s="230"/>
      <c r="AS39" s="230"/>
      <c r="AT39" s="230"/>
      <c r="AU39" s="230"/>
      <c r="AV39" s="233"/>
      <c r="AY39" s="180"/>
      <c r="AZ39" s="181"/>
      <c r="BA39" s="180"/>
      <c r="BB39" s="203"/>
      <c r="BC39" s="180"/>
      <c r="BD39" s="181"/>
      <c r="BE39" s="180"/>
      <c r="BF39" s="180"/>
      <c r="BG39" s="180"/>
      <c r="BH39" s="180"/>
      <c r="BI39" s="198"/>
      <c r="BK39" s="181"/>
      <c r="BL39" s="181"/>
      <c r="BM39" s="181"/>
      <c r="BN39" s="181"/>
      <c r="BO39" s="181"/>
      <c r="BP39" s="181"/>
      <c r="BQ39" s="181"/>
    </row>
    <row r="40" spans="1:69" ht="48" customHeight="1">
      <c r="A40" s="179">
        <v>15</v>
      </c>
      <c r="B40" s="188"/>
      <c r="C40" s="189"/>
      <c r="D40" s="189"/>
      <c r="E40" s="189"/>
      <c r="F40" s="189"/>
      <c r="G40" s="189"/>
      <c r="H40" s="190"/>
      <c r="I40" s="236"/>
      <c r="J40" s="237"/>
      <c r="K40" s="191"/>
      <c r="L40" s="191"/>
      <c r="M40" s="191"/>
      <c r="N40" s="191"/>
      <c r="O40" s="191"/>
      <c r="P40" s="191"/>
      <c r="Q40" s="191"/>
      <c r="R40" s="191"/>
      <c r="S40" s="210"/>
      <c r="T40" s="229"/>
      <c r="U40" s="238"/>
      <c r="V40" s="238"/>
      <c r="W40" s="238"/>
      <c r="X40" s="238"/>
      <c r="Y40" s="239"/>
      <c r="Z40" s="247"/>
      <c r="AA40" s="248"/>
      <c r="AB40" s="248"/>
      <c r="AC40" s="248"/>
      <c r="AD40" s="248"/>
      <c r="AE40" s="248"/>
      <c r="AF40" s="248"/>
      <c r="AG40" s="249"/>
      <c r="AH40" s="252"/>
      <c r="AI40" s="253"/>
      <c r="AJ40" s="253"/>
      <c r="AK40" s="253"/>
      <c r="AL40" s="253"/>
      <c r="AM40" s="253"/>
      <c r="AN40" s="253"/>
      <c r="AO40" s="253"/>
      <c r="AP40" s="232"/>
      <c r="AQ40" s="230"/>
      <c r="AR40" s="230"/>
      <c r="AS40" s="230"/>
      <c r="AT40" s="230"/>
      <c r="AU40" s="230"/>
      <c r="AV40" s="233"/>
      <c r="AY40" s="180"/>
      <c r="AZ40" s="181"/>
      <c r="BA40" s="180"/>
      <c r="BB40" s="203"/>
      <c r="BC40" s="180"/>
      <c r="BD40" s="181"/>
      <c r="BE40" s="180"/>
      <c r="BF40" s="180"/>
      <c r="BG40" s="180"/>
      <c r="BH40" s="180"/>
      <c r="BI40" s="198"/>
      <c r="BK40" s="181"/>
      <c r="BL40" s="181"/>
      <c r="BM40" s="181"/>
      <c r="BN40" s="181"/>
      <c r="BO40" s="181"/>
      <c r="BP40" s="181"/>
      <c r="BQ40" s="181"/>
    </row>
    <row r="41" spans="1:69" ht="15" customHeight="1">
      <c r="AY41" s="183"/>
      <c r="AZ41" s="183"/>
      <c r="BA41" s="183"/>
      <c r="BB41" s="183"/>
      <c r="BC41" s="183"/>
      <c r="BD41" s="183"/>
      <c r="BE41" s="183"/>
      <c r="BF41" s="183"/>
      <c r="BG41" s="183"/>
      <c r="BH41" s="183"/>
      <c r="BI41" s="183"/>
      <c r="BJ41" s="182" t="s">
        <v>218</v>
      </c>
      <c r="BK41" s="181">
        <f ca="1">COUNTIF(BK20:BK35,#REF!)</f>
        <v>0</v>
      </c>
      <c r="BL41" s="181">
        <f ca="1">COUNTIF(BL20:BL35,#REF!)</f>
        <v>0</v>
      </c>
      <c r="BM41" s="181">
        <f ca="1">COUNTIF(BM20:BM35,#REF!)</f>
        <v>0</v>
      </c>
      <c r="BN41" s="181">
        <f ca="1">COUNTIF(BN20:BN35,#REF!)</f>
        <v>0</v>
      </c>
      <c r="BO41" s="181">
        <f ca="1">COUNTIF(BO20:BO35,#REF!)</f>
        <v>0</v>
      </c>
      <c r="BP41" s="181">
        <f ca="1">COUNTIF(BP20:BP35,#REF!)</f>
        <v>0</v>
      </c>
      <c r="BQ41" s="181">
        <f ca="1">COUNTIF(BQ20:BQ35,#REF!)</f>
        <v>0</v>
      </c>
    </row>
    <row r="42" spans="1:69" ht="15" customHeight="1">
      <c r="AY42" s="183"/>
      <c r="AZ42" s="183"/>
      <c r="BA42" s="183"/>
      <c r="BB42" s="183"/>
      <c r="BC42" s="183"/>
      <c r="BD42" s="183"/>
      <c r="BE42" s="183"/>
      <c r="BF42" s="183"/>
      <c r="BG42" s="183"/>
      <c r="BH42" s="183"/>
      <c r="BI42" s="183"/>
      <c r="BJ42" s="182" t="s">
        <v>708</v>
      </c>
      <c r="BK42" s="181">
        <f ca="1">AY39-BK39-BK41</f>
        <v>0</v>
      </c>
      <c r="BL42" s="181">
        <f ca="1">COUNTIF(BL21:BL36,#REF!)</f>
        <v>0</v>
      </c>
      <c r="BM42" s="181">
        <f ca="1">COUNTIF(BM21:BM36,#REF!)</f>
        <v>0</v>
      </c>
      <c r="BN42" s="181">
        <f ca="1">COUNTIF(BN21:BN36,#REF!)</f>
        <v>0</v>
      </c>
      <c r="BO42" s="181">
        <f ca="1">COUNTIF(BO21:BO36,#REF!)</f>
        <v>0</v>
      </c>
      <c r="BP42" s="181" t="e">
        <f ca="1">#REF!-BP39-BP41</f>
        <v>#REF!</v>
      </c>
      <c r="BQ42" s="181" t="e">
        <f ca="1">#REF!-BQ39-BQ41</f>
        <v>#REF!</v>
      </c>
    </row>
  </sheetData>
  <mergeCells count="130">
    <mergeCell ref="I40:J40"/>
    <mergeCell ref="T40:Y40"/>
    <mergeCell ref="AP40:AV40"/>
    <mergeCell ref="Z26:AG40"/>
    <mergeCell ref="AH26:AO40"/>
    <mergeCell ref="AP27:AV27"/>
    <mergeCell ref="I37:J37"/>
    <mergeCell ref="T37:Y37"/>
    <mergeCell ref="AP37:AV37"/>
    <mergeCell ref="I38:J38"/>
    <mergeCell ref="T38:Y38"/>
    <mergeCell ref="AP38:AV38"/>
    <mergeCell ref="I39:J39"/>
    <mergeCell ref="T39:Y39"/>
    <mergeCell ref="AP39:AV39"/>
    <mergeCell ref="AP28:AV28"/>
    <mergeCell ref="I29:J29"/>
    <mergeCell ref="T29:Y29"/>
    <mergeCell ref="AP29:AV29"/>
    <mergeCell ref="I35:J35"/>
    <mergeCell ref="T35:Y35"/>
    <mergeCell ref="AP35:AV35"/>
    <mergeCell ref="AP26:AV26"/>
    <mergeCell ref="I27:J27"/>
    <mergeCell ref="AY11:BH11"/>
    <mergeCell ref="BK11:BQ11"/>
    <mergeCell ref="A12:D12"/>
    <mergeCell ref="E12:I12"/>
    <mergeCell ref="J12:L12"/>
    <mergeCell ref="M12:S12"/>
    <mergeCell ref="T12:U12"/>
    <mergeCell ref="V12:W12"/>
    <mergeCell ref="X12:AB12"/>
    <mergeCell ref="AC12:AD12"/>
    <mergeCell ref="A11:D11"/>
    <mergeCell ref="T11:U11"/>
    <mergeCell ref="V11:W11"/>
    <mergeCell ref="X11:AB11"/>
    <mergeCell ref="AC11:AD11"/>
    <mergeCell ref="AE11:AI11"/>
    <mergeCell ref="AE12:AI12"/>
    <mergeCell ref="AY12:BB12"/>
    <mergeCell ref="BC12:BH12"/>
    <mergeCell ref="BK12:BQ12"/>
    <mergeCell ref="E11:H11"/>
    <mergeCell ref="J11:L11"/>
    <mergeCell ref="AJ11:AK11"/>
    <mergeCell ref="AJ12:AK12"/>
    <mergeCell ref="AY13:AY15"/>
    <mergeCell ref="AZ13:AZ15"/>
    <mergeCell ref="BA13:BA15"/>
    <mergeCell ref="BB13:BB15"/>
    <mergeCell ref="BC13:BC15"/>
    <mergeCell ref="BL13:BL15"/>
    <mergeCell ref="BM13:BM15"/>
    <mergeCell ref="BN13:BN15"/>
    <mergeCell ref="N14:N15"/>
    <mergeCell ref="O14:O15"/>
    <mergeCell ref="P14:P15"/>
    <mergeCell ref="Q14:Q15"/>
    <mergeCell ref="R14:R15"/>
    <mergeCell ref="S14:S15"/>
    <mergeCell ref="BO13:BO15"/>
    <mergeCell ref="BP13:BP15"/>
    <mergeCell ref="BQ13:BQ15"/>
    <mergeCell ref="BD13:BD15"/>
    <mergeCell ref="BE13:BE15"/>
    <mergeCell ref="BF13:BF15"/>
    <mergeCell ref="BG13:BG15"/>
    <mergeCell ref="BH13:BH15"/>
    <mergeCell ref="BK13:BK15"/>
    <mergeCell ref="A14:A15"/>
    <mergeCell ref="B14:H15"/>
    <mergeCell ref="I14:J15"/>
    <mergeCell ref="K14:K15"/>
    <mergeCell ref="L14:L15"/>
    <mergeCell ref="M14:M15"/>
    <mergeCell ref="T14:Y15"/>
    <mergeCell ref="Z14:AO14"/>
    <mergeCell ref="AP14:AV15"/>
    <mergeCell ref="Z15:AG15"/>
    <mergeCell ref="AH15:AO15"/>
    <mergeCell ref="AP17:AV17"/>
    <mergeCell ref="AP18:AV18"/>
    <mergeCell ref="AP19:AV19"/>
    <mergeCell ref="AP23:AV23"/>
    <mergeCell ref="I24:J24"/>
    <mergeCell ref="T24:Y24"/>
    <mergeCell ref="AP24:AV24"/>
    <mergeCell ref="T17:Y17"/>
    <mergeCell ref="T18:Y18"/>
    <mergeCell ref="T19:Y19"/>
    <mergeCell ref="Z21:AG24"/>
    <mergeCell ref="AH21:AO24"/>
    <mergeCell ref="AP21:AV21"/>
    <mergeCell ref="I22:J22"/>
    <mergeCell ref="T22:Y22"/>
    <mergeCell ref="AP22:AV22"/>
    <mergeCell ref="I23:J23"/>
    <mergeCell ref="T23:Y23"/>
    <mergeCell ref="AP36:AV36"/>
    <mergeCell ref="I33:J33"/>
    <mergeCell ref="AP33:AV33"/>
    <mergeCell ref="I34:J34"/>
    <mergeCell ref="AP34:AV34"/>
    <mergeCell ref="T34:Y34"/>
    <mergeCell ref="I26:J26"/>
    <mergeCell ref="T26:Y26"/>
    <mergeCell ref="I30:J30"/>
    <mergeCell ref="T30:Y30"/>
    <mergeCell ref="AP30:AV30"/>
    <mergeCell ref="I31:J31"/>
    <mergeCell ref="AP31:AV31"/>
    <mergeCell ref="I32:J32"/>
    <mergeCell ref="AP32:AV32"/>
    <mergeCell ref="I28:J28"/>
    <mergeCell ref="M11:S11"/>
    <mergeCell ref="AH25:AO25"/>
    <mergeCell ref="T31:Y31"/>
    <mergeCell ref="T32:Y32"/>
    <mergeCell ref="T33:Y33"/>
    <mergeCell ref="I36:J36"/>
    <mergeCell ref="T36:Y36"/>
    <mergeCell ref="T28:Y28"/>
    <mergeCell ref="I21:J21"/>
    <mergeCell ref="T21:Y21"/>
    <mergeCell ref="Z17:AG19"/>
    <mergeCell ref="AH17:AO19"/>
    <mergeCell ref="I13:S13"/>
    <mergeCell ref="T27:Y27"/>
  </mergeCells>
  <phoneticPr fontId="1"/>
  <conditionalFormatting sqref="BP21:BQ24 BP26:BQ40">
    <cfRule type="expression" dxfId="1" priority="1">
      <formula>BB21="〇"</formula>
    </cfRule>
  </conditionalFormatting>
  <conditionalFormatting sqref="BK21:BO24 BK26:BO40">
    <cfRule type="expression" dxfId="0" priority="2">
      <formula>AY21="〇"</formula>
    </cfRule>
  </conditionalFormatting>
  <dataValidations count="1">
    <dataValidation type="list" allowBlank="1" showInputMessage="1" showErrorMessage="1" sqref="AJ12:AK12" xr:uid="{2F9AC0F4-60D0-4307-BAD4-44ED06AFA843}">
      <formula1>"Open, Approved, Feedback, Resolved"</formula1>
    </dataValidation>
  </dataValidations>
  <pageMargins left="0.31496062992125984" right="0.31496062992125984" top="0.98425196850393704" bottom="0.59055118110236227" header="0" footer="0"/>
  <pageSetup paperSize="9" scale="81" orientation="landscape"/>
  <headerFooter>
    <oddFooter>&amp;L&amp;A&amp;C&amp;P/&amp;R&amp;F</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e95984-cd3d-42a2-befb-78a1f09de7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76132D14CCB64CAE50A16EB589B2A7" ma:contentTypeVersion="10" ma:contentTypeDescription="Create a new document." ma:contentTypeScope="" ma:versionID="3cf02b577d15fb44d58b13ae8f64a9f5">
  <xsd:schema xmlns:xsd="http://www.w3.org/2001/XMLSchema" xmlns:xs="http://www.w3.org/2001/XMLSchema" xmlns:p="http://schemas.microsoft.com/office/2006/metadata/properties" xmlns:ns2="09e95984-cd3d-42a2-befb-78a1f09de72d" targetNamespace="http://schemas.microsoft.com/office/2006/metadata/properties" ma:root="true" ma:fieldsID="647ca22313a9bc1a6feb690a0186adf2" ns2:_="">
    <xsd:import namespace="09e95984-cd3d-42a2-befb-78a1f09de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e95984-cd3d-42a2-befb-78a1f09de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ef91289-644b-40ba-a75f-636ce8f157b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1469D9-EF24-45CE-AE0A-5FE3BD9E0631}"/>
</file>

<file path=customXml/itemProps2.xml><?xml version="1.0" encoding="utf-8"?>
<ds:datastoreItem xmlns:ds="http://schemas.openxmlformats.org/officeDocument/2006/customXml" ds:itemID="{D5427EE1-6800-4639-97D6-D3D8541D0DDC}"/>
</file>

<file path=customXml/itemProps3.xml><?xml version="1.0" encoding="utf-8"?>
<ds:datastoreItem xmlns:ds="http://schemas.openxmlformats.org/officeDocument/2006/customXml" ds:itemID="{830F4285-F9FF-4C51-BABC-A741EA7024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2025-09-10T04:27:57Z</dcterms:created>
  <dcterms:modified xsi:type="dcterms:W3CDTF">2025-11-20T07:17:19Z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0x010100F876132D14CCB64CAE50A16EB589B2A7</vt:lpwstr>
  </property>
  <property fmtid="{D5CDD505-2E9C-101B-9397-08002B2CF9AE}" pid="3" name="MediaServiceImageTags">
    <vt:lpwstr/>
  </property>
</Properties>
</file>